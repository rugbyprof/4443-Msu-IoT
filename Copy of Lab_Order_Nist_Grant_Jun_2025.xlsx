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ffin/Sync/__currentCourses/4443-Msu-IoT/"/>
    </mc:Choice>
  </mc:AlternateContent>
  <xr:revisionPtr revIDLastSave="0" documentId="13_ncr:1_{F0798AB9-6764-6444-BA5B-004DBD799316}" xr6:coauthVersionLast="47" xr6:coauthVersionMax="47" xr10:uidLastSave="{00000000-0000-0000-0000-000000000000}"/>
  <bookViews>
    <workbookView xWindow="0" yWindow="760" windowWidth="29400" windowHeight="16940" activeTab="1" xr2:uid="{6511EA01-E8BE-7A43-9DF9-617754C51089}"/>
  </bookViews>
  <sheets>
    <sheet name="IoT Lab Parts 1" sheetId="1" r:id="rId1"/>
    <sheet name="IoT Lab Parts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2" l="1"/>
  <c r="H13" i="2"/>
  <c r="H36" i="2"/>
  <c r="H2" i="2"/>
  <c r="H41" i="2"/>
  <c r="H40" i="2"/>
  <c r="H26" i="2"/>
  <c r="F41" i="2"/>
  <c r="F40" i="2"/>
  <c r="F13" i="2"/>
  <c r="F36" i="2"/>
  <c r="F42" i="2"/>
  <c r="H42" i="2"/>
  <c r="F2" i="2"/>
  <c r="F27" i="2"/>
  <c r="H27" i="2"/>
  <c r="F31" i="2"/>
  <c r="H31" i="2"/>
  <c r="F53" i="2"/>
  <c r="H53" i="2"/>
  <c r="F12" i="2"/>
  <c r="F11" i="2"/>
  <c r="H12" i="2"/>
  <c r="H11" i="2"/>
  <c r="F14" i="2"/>
  <c r="H14" i="2"/>
  <c r="F26" i="2"/>
  <c r="F32" i="2"/>
  <c r="H32" i="2"/>
  <c r="F3" i="2"/>
  <c r="H3" i="2"/>
  <c r="F16" i="2"/>
  <c r="H16" i="2"/>
  <c r="F17" i="2"/>
  <c r="H17" i="2"/>
  <c r="F8" i="2"/>
  <c r="F43" i="2"/>
  <c r="F48" i="2"/>
  <c r="H8" i="2"/>
  <c r="H43" i="2"/>
  <c r="H48" i="2"/>
  <c r="F49" i="2"/>
  <c r="H49" i="2"/>
  <c r="H47" i="2"/>
  <c r="F47" i="2"/>
  <c r="F35" i="2"/>
  <c r="F50" i="2"/>
  <c r="F29" i="2"/>
  <c r="F30" i="2"/>
  <c r="H35" i="2"/>
  <c r="H50" i="2"/>
  <c r="H29" i="2"/>
  <c r="H30" i="2"/>
  <c r="F5" i="2"/>
  <c r="H5" i="2"/>
  <c r="F46" i="2"/>
  <c r="F52" i="2"/>
  <c r="F6" i="2"/>
  <c r="H46" i="2"/>
  <c r="H52" i="2"/>
  <c r="H6" i="2"/>
  <c r="F51" i="2"/>
  <c r="F33" i="2"/>
  <c r="F39" i="2"/>
  <c r="F22" i="2"/>
  <c r="F15" i="2"/>
  <c r="F21" i="2"/>
  <c r="F9" i="2"/>
  <c r="F34" i="2"/>
  <c r="F44" i="2"/>
  <c r="F19" i="2"/>
  <c r="F18" i="2"/>
  <c r="F20" i="2"/>
  <c r="F7" i="2"/>
  <c r="F4" i="2"/>
  <c r="F38" i="2"/>
  <c r="F37" i="2"/>
  <c r="F10" i="2"/>
  <c r="F45" i="2"/>
  <c r="F23" i="2"/>
  <c r="F25" i="2"/>
  <c r="F24" i="2"/>
  <c r="F28" i="2"/>
  <c r="H28" i="2"/>
  <c r="H24" i="2"/>
  <c r="H25" i="2"/>
  <c r="H23" i="2"/>
  <c r="H45" i="2"/>
  <c r="H10" i="2"/>
  <c r="H37" i="2"/>
  <c r="H38" i="2"/>
  <c r="H4" i="2"/>
  <c r="H7" i="2"/>
  <c r="H20" i="2"/>
  <c r="H18" i="2"/>
  <c r="H19" i="2"/>
  <c r="H44" i="2"/>
  <c r="H34" i="2"/>
  <c r="H9" i="2"/>
  <c r="H33" i="2"/>
  <c r="H21" i="2"/>
  <c r="H15" i="2"/>
  <c r="H22" i="2"/>
  <c r="H39" i="2"/>
  <c r="H51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H54" i="2" l="1"/>
</calcChain>
</file>

<file path=xl/sharedStrings.xml><?xml version="1.0" encoding="utf-8"?>
<sst xmlns="http://schemas.openxmlformats.org/spreadsheetml/2006/main" count="186" uniqueCount="181">
  <si>
    <t>https://a.co/d/cYuHgP3</t>
  </si>
  <si>
    <t>Zip ties colored</t>
  </si>
  <si>
    <t>https://a.co/d/2UbwkBn</t>
  </si>
  <si>
    <t>Zip ties black</t>
  </si>
  <si>
    <t>https://a.co/d/d9xCkDo</t>
  </si>
  <si>
    <t>Velcro 132ft</t>
  </si>
  <si>
    <t>https://a.co/d/aMnuOZF</t>
  </si>
  <si>
    <t>Usb Meter</t>
  </si>
  <si>
    <t>https://a.co/d/1aq4hnQ</t>
  </si>
  <si>
    <t>Soldering Tips</t>
  </si>
  <si>
    <t>https://a.co/d/6oJZYv2</t>
  </si>
  <si>
    <t>Soldering Mat</t>
  </si>
  <si>
    <t>https://a.co/d/35OORHy</t>
  </si>
  <si>
    <t>Solder storage</t>
  </si>
  <si>
    <t>https://a.co/d/7dFAwAM</t>
  </si>
  <si>
    <t>Solder removal</t>
  </si>
  <si>
    <t>https://a.co/d/7riTmdc</t>
  </si>
  <si>
    <t>Solder iron stations</t>
  </si>
  <si>
    <t>https://a.co/d/67xLBHp</t>
  </si>
  <si>
    <t>Solder helping hands</t>
  </si>
  <si>
    <t>https://a.co/d/8ZdLp6G</t>
  </si>
  <si>
    <t>Solder , Tip cleaner, Flux</t>
  </si>
  <si>
    <t>https://a.co/d/0Pg9k8E</t>
  </si>
  <si>
    <t>Small Breadboards</t>
  </si>
  <si>
    <t>https://a.co/d/ch69XPG</t>
  </si>
  <si>
    <t>Servo motors (SG90)</t>
  </si>
  <si>
    <t>https://a.co/d/cawo4D5</t>
  </si>
  <si>
    <t xml:space="preserve">Sensor Kit </t>
  </si>
  <si>
    <t>https://a.co/d/gY5GsVo</t>
  </si>
  <si>
    <t>Safety Glasses</t>
  </si>
  <si>
    <t>https://a.co/d/cOSIHyl</t>
  </si>
  <si>
    <t>Raspberry Pi 4‑8 GB kits</t>
  </si>
  <si>
    <t>https://a.co/d/1zZD4aE</t>
  </si>
  <si>
    <t>M2–M4 screw / standoff kit</t>
  </si>
  <si>
    <t>https://a.co/d/d70Vcyb</t>
  </si>
  <si>
    <t>Jumper Wires</t>
  </si>
  <si>
    <t>https://a.co/d/4HQFSYk</t>
  </si>
  <si>
    <t xml:space="preserve">Heat Sync </t>
  </si>
  <si>
    <t>https://a.co/d/eZwOmIy</t>
  </si>
  <si>
    <t>Heat gun mini</t>
  </si>
  <si>
    <t>https://a.co/d/eHbTkJT</t>
  </si>
  <si>
    <t>Fume extractor</t>
  </si>
  <si>
    <t>https://a.co/d/b3dlqd6</t>
  </si>
  <si>
    <t>Esp32 Starter</t>
  </si>
  <si>
    <t>https://a.co/d/d7S5W4c</t>
  </si>
  <si>
    <t>Digital multimeters</t>
  </si>
  <si>
    <t>https://a.co/d/1Zr00gP</t>
  </si>
  <si>
    <t>Crimper Kit</t>
  </si>
  <si>
    <t>https://a.co/d/4T9QhXF</t>
  </si>
  <si>
    <t>Colored wire 22g</t>
  </si>
  <si>
    <t>https://a.co/d/6wShmGZ</t>
  </si>
  <si>
    <t>Colored wire 20g</t>
  </si>
  <si>
    <t>https://a.co/d/2iLf49P</t>
  </si>
  <si>
    <t>Colored wire 18g</t>
  </si>
  <si>
    <t>https://a.co/d/7G8XhMW</t>
  </si>
  <si>
    <t>Colored wire 16g</t>
  </si>
  <si>
    <t>https://a.co/d/7z7v99F</t>
  </si>
  <si>
    <t>Breadboards</t>
  </si>
  <si>
    <t>https://a.co/d/aIOJwqR</t>
  </si>
  <si>
    <t xml:space="preserve">Arduino Uno‑R4 </t>
  </si>
  <si>
    <t>https://a.co/d/7PWzg4t</t>
  </si>
  <si>
    <t>Anycubic 3D Printer Kobra S1</t>
  </si>
  <si>
    <t>https://a.co/d/5qLuiGv</t>
  </si>
  <si>
    <t>5V Stepper Motor + ULN2003 Driver Board</t>
  </si>
  <si>
    <t>https://a.co/d/4UYztjz</t>
  </si>
  <si>
    <t>3D printer Deburring Kit</t>
  </si>
  <si>
    <t>https://a.co/d/5OwLgSk</t>
  </si>
  <si>
    <t>3D printer colored filament</t>
  </si>
  <si>
    <t>https://a.co/d/eWLJLhe</t>
  </si>
  <si>
    <t>3D printer black filament</t>
  </si>
  <si>
    <t>Link</t>
  </si>
  <si>
    <t>Cost</t>
  </si>
  <si>
    <t>Unit Price</t>
  </si>
  <si>
    <t>Count</t>
  </si>
  <si>
    <t>Description</t>
  </si>
  <si>
    <t>https://a.co/d/1pgzCrn</t>
  </si>
  <si>
    <t>Tank Platform (ready to go)</t>
  </si>
  <si>
    <t>https://a.co/d/b5ooTVa</t>
  </si>
  <si>
    <t>https://a.co/d/9hi5wjq</t>
  </si>
  <si>
    <t>IR Sensors</t>
  </si>
  <si>
    <t>https://a.co/d/bbl4prF</t>
  </si>
  <si>
    <t>Bumper Switches (Micro Limit Switch)</t>
  </si>
  <si>
    <t>Ir Analog Distance</t>
  </si>
  <si>
    <t>https://a.co/d/3Xr4rN0</t>
  </si>
  <si>
    <t>https://a.co/d/0WqhrF6</t>
  </si>
  <si>
    <t xml:space="preserve">Pan Mount </t>
  </si>
  <si>
    <t>https://a.co/d/0WjGBxP</t>
  </si>
  <si>
    <t>6 Axis IMU (arduino brand)</t>
  </si>
  <si>
    <t>https://a.co/d/jaFr7rR</t>
  </si>
  <si>
    <t>https://a.co/d/bv65r9m</t>
  </si>
  <si>
    <t>RPLIDAR A1M8 LIDAR</t>
  </si>
  <si>
    <t>Pi Camera / ESP32-Cam </t>
  </si>
  <si>
    <t>https://a.co/d/1HJA10Q</t>
  </si>
  <si>
    <t>GPS Breakout Board</t>
  </si>
  <si>
    <t>GPS Antennae</t>
  </si>
  <si>
    <t>https://a.co/d/g4TTEao</t>
  </si>
  <si>
    <t>GPS Module (cheaper)</t>
  </si>
  <si>
    <t>https://a.co/d/eNNU31y</t>
  </si>
  <si>
    <t>https://a.co/d/32ziyjY</t>
  </si>
  <si>
    <t>https://a.co/d/hmiRmXl</t>
  </si>
  <si>
    <t>https://a.co/d/77Ahfhh</t>
  </si>
  <si>
    <t>RGB LED module (prepacked resistor)</t>
  </si>
  <si>
    <t>7 segment display</t>
  </si>
  <si>
    <t>https://a.co/d/8fLofJM</t>
  </si>
  <si>
    <t>https://a.co/d/iBzU0K5</t>
  </si>
  <si>
    <t>Small LCD screen</t>
  </si>
  <si>
    <t>https://a.co/d/45zKuU9</t>
  </si>
  <si>
    <t>https://a.co/d/iJyqeDs</t>
  </si>
  <si>
    <t>https://a.co/d/hsqo7nh</t>
  </si>
  <si>
    <t>Robot Chassis 4wd</t>
  </si>
  <si>
    <t>Tot Pcs</t>
  </si>
  <si>
    <t>Pcs</t>
  </si>
  <si>
    <t>Mixed Capacitors (630pcs)</t>
  </si>
  <si>
    <t>RGB LED's (100pcs)</t>
  </si>
  <si>
    <t>3mm LED's (500pcs)</t>
  </si>
  <si>
    <t>5mm LED's (500pcs)</t>
  </si>
  <si>
    <t>https://a.co/d/bZvtals</t>
  </si>
  <si>
    <t>Soil Moisture Sensor</t>
  </si>
  <si>
    <t>Temp and Humidity</t>
  </si>
  <si>
    <t>https://a.co/d/9gg0YL3</t>
  </si>
  <si>
    <t>https://a.co/d/a2gM3GO</t>
  </si>
  <si>
    <t>4x4 Keypad</t>
  </si>
  <si>
    <t>https://a.co/d/8vPQ0V4</t>
  </si>
  <si>
    <t>4x4 Better Keypad</t>
  </si>
  <si>
    <t>https://a.co/d/fqvfChu</t>
  </si>
  <si>
    <t>Piezo Buzzer</t>
  </si>
  <si>
    <t>https://a.co/d/2mTOMkH</t>
  </si>
  <si>
    <t>Speakers</t>
  </si>
  <si>
    <t>https://a.co/d/d5VNPBy</t>
  </si>
  <si>
    <t>Mp3 Module</t>
  </si>
  <si>
    <t>Mp3 Module (different type)</t>
  </si>
  <si>
    <t>5v Power Supply</t>
  </si>
  <si>
    <t>https://a.co/d/5ngAl6i</t>
  </si>
  <si>
    <t>https://a.co/d/ixI7nYX</t>
  </si>
  <si>
    <t>https://a.co/d/aOqqiZN</t>
  </si>
  <si>
    <t>Rotary Encoder</t>
  </si>
  <si>
    <t>https://a.co/d/drLOSa2</t>
  </si>
  <si>
    <t>Soldering Practice</t>
  </si>
  <si>
    <t>https://a.co/d/fSsrwQw</t>
  </si>
  <si>
    <t>Soldering Practice (capacitors)</t>
  </si>
  <si>
    <t>Soldering Practice (resistors)</t>
  </si>
  <si>
    <t>https://a.co/d/cQ3mfeO</t>
  </si>
  <si>
    <t>https://a.co/d/bKbGUh2</t>
  </si>
  <si>
    <t>Jumper Wires 20cm</t>
  </si>
  <si>
    <t>Jumper Wires 15cm</t>
  </si>
  <si>
    <t>https://a.co/d/h1uRJHV</t>
  </si>
  <si>
    <t>Jumper Wires 10cm</t>
  </si>
  <si>
    <t>Connector Kit (for jumpers)</t>
  </si>
  <si>
    <t>https://a.co/d/3xQ3zBL</t>
  </si>
  <si>
    <t>20awg Copper Wire</t>
  </si>
  <si>
    <t>https://a.co/d/c7KOrxD</t>
  </si>
  <si>
    <t>https://a.co/d/0D5bg5z</t>
  </si>
  <si>
    <t>Diode Assortment</t>
  </si>
  <si>
    <t>NPN Transistor 5 Amp 60 V</t>
  </si>
  <si>
    <t>https://a.co/d/hX00sHr</t>
  </si>
  <si>
    <t>9V Batterys</t>
  </si>
  <si>
    <t>https://a.co/d/h0wk1Nk</t>
  </si>
  <si>
    <t>9v Battery Snap Connectors</t>
  </si>
  <si>
    <t>https://a.co/d/7TfIcAN</t>
  </si>
  <si>
    <t>BOJACK NE555 Timer IC</t>
  </si>
  <si>
    <t>https://a.co/d/8esS3Di</t>
  </si>
  <si>
    <t>NE555 Pulse Generator 555 Timer Module</t>
  </si>
  <si>
    <t>https://a.co/d/jjLXslG</t>
  </si>
  <si>
    <t>https://a.co/d/9UmJPjo</t>
  </si>
  <si>
    <t>ULN2003 5V Stepper Motor</t>
  </si>
  <si>
    <t>https://a.co/d/48MhF9M</t>
  </si>
  <si>
    <t>MG90S 9G Micro Servo Motor </t>
  </si>
  <si>
    <t>Robotic Claw Full Metal with serfvo &amp; Tester</t>
  </si>
  <si>
    <t>https://a.co/d/clGcvh9</t>
  </si>
  <si>
    <t>https://a.co/d/0GwkLAQ</t>
  </si>
  <si>
    <t>Arm Mechanical Robotic Clamp Claw Kit</t>
  </si>
  <si>
    <t>RC Digital Servo Tester 6 Channels Motor Servo</t>
  </si>
  <si>
    <t>https://a.co/d/ckR3pPQ</t>
  </si>
  <si>
    <t>https://a.co/d/eQFLaf1</t>
  </si>
  <si>
    <t>1amp 5volt plug in power supply</t>
  </si>
  <si>
    <t>https://a.co/d/1Vm3Ijd</t>
  </si>
  <si>
    <t>Robot spider</t>
  </si>
  <si>
    <t>Robot Dog Kit</t>
  </si>
  <si>
    <t>https://a.co/d/1zOF2Wt</t>
  </si>
  <si>
    <t>Mecanum Wheel Car Kit </t>
  </si>
  <si>
    <t>https://a.co/d/dDwqRtB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</si>
</sst>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Helvetica"/>
      <family val="2"/>
    </font>
    <font>
      <sz val="14"/>
      <color rgb="FF0070C0"/>
      <name val="Helvetica"/>
      <family val="2"/>
    </font>
    <font>
      <u/>
      <sz val="12"/>
      <color theme="10"/>
      <name val="Aptos Narrow"/>
      <family val="2"/>
      <scheme val="minor"/>
    </font>
    <font>
      <u/>
      <sz val="14"/>
      <color rgb="FF0070C0"/>
      <name val="Helvetica"/>
      <family val="2"/>
    </font>
    <font>
      <sz val="14"/>
      <color rgb="FF000000"/>
      <name val="Helvetica"/>
      <family val="2"/>
    </font>
    <font>
      <sz val="14"/>
      <color theme="0"/>
      <name val="Helvetica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sz val="14"/>
      <color theme="1"/>
      <name val="Helvetica"/>
      <family val="2"/>
    </font>
    <font>
      <u/>
      <sz val="12"/>
      <color theme="1"/>
      <name val="Aptos Narrow"/>
      <family val="2"/>
      <scheme val="minor"/>
    </font>
    <font>
      <u/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2" fontId="2" fillId="0" borderId="0" xfId="0" applyNumberFormat="1" applyFont="1" applyAlignment="1">
      <alignment horizontal="right"/>
    </xf>
    <xf numFmtId="2" fontId="2" fillId="0" borderId="0" xfId="1" applyNumberFormat="1" applyFont="1" applyAlignment="1">
      <alignment horizontal="right"/>
    </xf>
    <xf numFmtId="0" fontId="2" fillId="0" borderId="0" xfId="0" applyFont="1" applyAlignment="1">
      <alignment horizontal="center"/>
    </xf>
    <xf numFmtId="2" fontId="2" fillId="0" borderId="0" xfId="1" applyNumberFormat="1" applyFont="1" applyFill="1" applyBorder="1" applyAlignment="1">
      <alignment horizontal="right"/>
    </xf>
    <xf numFmtId="0" fontId="5" fillId="0" borderId="0" xfId="2" applyNumberFormat="1" applyFont="1" applyFill="1" applyBorder="1" applyAlignment="1">
      <alignment horizontal="left"/>
    </xf>
    <xf numFmtId="2" fontId="2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5" fillId="0" borderId="0" xfId="2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2" applyFont="1" applyBorder="1" applyAlignment="1">
      <alignment horizontal="left" vertical="center" wrapText="1"/>
    </xf>
    <xf numFmtId="0" fontId="7" fillId="0" borderId="0" xfId="0" applyFont="1"/>
    <xf numFmtId="2" fontId="2" fillId="0" borderId="0" xfId="0" applyNumberFormat="1" applyFont="1" applyAlignment="1">
      <alignment horizontal="left"/>
    </xf>
    <xf numFmtId="2" fontId="2" fillId="0" borderId="0" xfId="1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2" applyNumberFormat="1" applyFill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4" fillId="0" borderId="0" xfId="2" applyAlignment="1">
      <alignment horizontal="left"/>
    </xf>
    <xf numFmtId="0" fontId="10" fillId="2" borderId="0" xfId="0" applyFont="1" applyFill="1" applyAlignment="1"/>
    <xf numFmtId="0" fontId="10" fillId="2" borderId="0" xfId="0" applyFont="1" applyFill="1" applyAlignment="1">
      <alignment horizontal="left"/>
    </xf>
    <xf numFmtId="2" fontId="10" fillId="2" borderId="0" xfId="1" applyNumberFormat="1" applyFont="1" applyFill="1" applyBorder="1" applyAlignment="1">
      <alignment horizontal="left"/>
    </xf>
    <xf numFmtId="2" fontId="10" fillId="2" borderId="0" xfId="0" applyNumberFormat="1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4" fillId="0" borderId="0" xfId="2" applyFont="1" applyAlignment="1">
      <alignment horizontal="left"/>
    </xf>
    <xf numFmtId="0" fontId="11" fillId="0" borderId="0" xfId="2" applyFont="1" applyAlignment="1">
      <alignment horizontal="left"/>
    </xf>
    <xf numFmtId="0" fontId="11" fillId="0" borderId="0" xfId="2" applyNumberFormat="1" applyFont="1" applyFill="1" applyBorder="1" applyAlignment="1">
      <alignment horizontal="left"/>
    </xf>
    <xf numFmtId="0" fontId="11" fillId="0" borderId="0" xfId="2" applyFont="1" applyFill="1" applyBorder="1" applyAlignment="1">
      <alignment horizontal="left" vertical="center"/>
    </xf>
    <xf numFmtId="0" fontId="12" fillId="0" borderId="0" xfId="2" applyNumberFormat="1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2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</font>
    </dxf>
    <dxf>
      <font>
        <strike val="0"/>
        <outline val="0"/>
        <shadow val="0"/>
        <vertAlign val="baseline"/>
        <sz val="14"/>
      </font>
    </dxf>
    <dxf>
      <font>
        <b/>
        <strike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vertAlign val="baseline"/>
        <sz val="14"/>
        <color rgb="FF0070C0"/>
        <name val="Helvetic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Helvetica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Helvetic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50035-1BE6-FE4A-AF9A-D18EA8661E9C}" name="Table4" displayName="Table4" ref="B1:F38" totalsRowShown="0" headerRowDxfId="23" dataDxfId="22">
  <autoFilter ref="B1:F38" xr:uid="{02AA181B-0B9B-6D4C-81D4-7ECE93BF5743}"/>
  <sortState xmlns:xlrd2="http://schemas.microsoft.com/office/spreadsheetml/2017/richdata2" ref="B2:F38">
    <sortCondition ref="B1:B38"/>
  </sortState>
  <tableColumns count="5">
    <tableColumn id="1" xr3:uid="{DF74D048-BAC2-2F48-AA45-576C4952D3B1}" name="Description" dataDxfId="21"/>
    <tableColumn id="2" xr3:uid="{C4C4D53E-D4A2-7A40-ACAE-B11E9C64F6C8}" name="Count" dataDxfId="20"/>
    <tableColumn id="3" xr3:uid="{240E4AF5-F515-8642-8F7C-2D7466114BAC}" name="Unit Price" dataDxfId="19" dataCellStyle="Currency"/>
    <tableColumn id="4" xr3:uid="{8D1CFB2F-5E00-F249-AB0F-ADA0100D760C}" name="Cost" dataDxfId="18">
      <calculatedColumnFormula>C2*D2</calculatedColumnFormula>
    </tableColumn>
    <tableColumn id="5" xr3:uid="{5E6869B7-7DEA-F443-897E-4CD97779F516}" name="Link" dataDxfId="17" dataCellStyle="Hyperlink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9F6972-8571-294B-8991-4165DB373B17}" name="Table3" displayName="Table3" ref="C1:I54" totalsRowCount="1" headerRowDxfId="16" dataDxfId="14" totalsRowDxfId="15">
  <autoFilter ref="C1:I53" xr:uid="{609F6972-8571-294B-8991-4165DB373B17}"/>
  <sortState xmlns:xlrd2="http://schemas.microsoft.com/office/spreadsheetml/2017/richdata2" ref="C2:I53">
    <sortCondition ref="C1:C53"/>
  </sortState>
  <tableColumns count="7">
    <tableColumn id="1" xr3:uid="{FAE37B35-2865-BD44-8DF2-9484D4D9C303}" name="Description" dataDxfId="13" totalsRowDxfId="6"/>
    <tableColumn id="2" xr3:uid="{C9219EBC-3A8F-4A46-BF64-AE101F03DD6F}" name="Count" totalsRowFunction="custom" dataDxfId="12" totalsRowDxfId="5">
      <totalsRowFormula>SUM(Table3[Count])</totalsRowFormula>
    </tableColumn>
    <tableColumn id="3" xr3:uid="{780B98AB-87C5-764C-92BC-77221CE560CD}" name="Pcs" dataDxfId="11" totalsRowDxfId="4"/>
    <tableColumn id="4" xr3:uid="{EC0BA723-A3E2-174E-91CB-8587AE4BC85B}" name="Tot Pcs" dataDxfId="10" totalsRowDxfId="3">
      <calculatedColumnFormula>D2*E2</calculatedColumnFormula>
    </tableColumn>
    <tableColumn id="5" xr3:uid="{9CB4A174-8ACF-C540-B64C-6901BA2BE7E4}" name="Unit Price" dataDxfId="9" totalsRowDxfId="2"/>
    <tableColumn id="6" xr3:uid="{9C18F7B5-FC8C-2641-AF75-B9FBB4C28C0B}" name="Cost" totalsRowFunction="custom" dataDxfId="8" totalsRowDxfId="1">
      <calculatedColumnFormula>G2*D2</calculatedColumnFormula>
      <totalsRowFormula>SUM(Table3[Cost])</totalsRowFormula>
    </tableColumn>
    <tableColumn id="7" xr3:uid="{75286E51-A609-234F-9C04-9F3886896D38}" name="Link" dataDxfId="7" totalsRowDxfId="0" dataCellStyle="Hyperlink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.co/d/ch69XPG" TargetMode="External"/><Relationship Id="rId13" Type="http://schemas.openxmlformats.org/officeDocument/2006/relationships/hyperlink" Target="https://a.co/d/eHbTkJT" TargetMode="External"/><Relationship Id="rId18" Type="http://schemas.openxmlformats.org/officeDocument/2006/relationships/hyperlink" Target="https://a.co/d/7G8XhMW" TargetMode="External"/><Relationship Id="rId3" Type="http://schemas.openxmlformats.org/officeDocument/2006/relationships/hyperlink" Target="https://a.co/d/4HQFSYk" TargetMode="External"/><Relationship Id="rId21" Type="http://schemas.openxmlformats.org/officeDocument/2006/relationships/hyperlink" Target="https://a.co/d/gY5GsVo" TargetMode="External"/><Relationship Id="rId7" Type="http://schemas.openxmlformats.org/officeDocument/2006/relationships/hyperlink" Target="https://a.co/d/cawo4D5" TargetMode="External"/><Relationship Id="rId12" Type="http://schemas.openxmlformats.org/officeDocument/2006/relationships/hyperlink" Target="https://a.co/d/7riTmdc" TargetMode="External"/><Relationship Id="rId17" Type="http://schemas.openxmlformats.org/officeDocument/2006/relationships/hyperlink" Target="https://a.co/d/2iLf49P" TargetMode="External"/><Relationship Id="rId2" Type="http://schemas.openxmlformats.org/officeDocument/2006/relationships/hyperlink" Target="https://a.co/d/cOSIHyl" TargetMode="External"/><Relationship Id="rId16" Type="http://schemas.openxmlformats.org/officeDocument/2006/relationships/hyperlink" Target="https://a.co/d/35OORHy" TargetMode="External"/><Relationship Id="rId20" Type="http://schemas.openxmlformats.org/officeDocument/2006/relationships/hyperlink" Target="https://a.co/d/8ZdLp6G" TargetMode="External"/><Relationship Id="rId1" Type="http://schemas.openxmlformats.org/officeDocument/2006/relationships/hyperlink" Target="https://a.co/d/aIOJwqR" TargetMode="External"/><Relationship Id="rId6" Type="http://schemas.openxmlformats.org/officeDocument/2006/relationships/hyperlink" Target="https://a.co/d/5qLuiGv" TargetMode="External"/><Relationship Id="rId11" Type="http://schemas.openxmlformats.org/officeDocument/2006/relationships/hyperlink" Target="https://a.co/d/d7S5W4c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a.co/d/1zZD4aE" TargetMode="External"/><Relationship Id="rId15" Type="http://schemas.openxmlformats.org/officeDocument/2006/relationships/hyperlink" Target="https://a.co/d/7dFAwAM" TargetMode="External"/><Relationship Id="rId23" Type="http://schemas.openxmlformats.org/officeDocument/2006/relationships/hyperlink" Target="https://a.co/d/b3dlqd6" TargetMode="External"/><Relationship Id="rId10" Type="http://schemas.openxmlformats.org/officeDocument/2006/relationships/hyperlink" Target="https://a.co/d/1aq4hnQ" TargetMode="External"/><Relationship Id="rId19" Type="http://schemas.openxmlformats.org/officeDocument/2006/relationships/hyperlink" Target="https://a.co/d/6wShmGZ" TargetMode="External"/><Relationship Id="rId4" Type="http://schemas.openxmlformats.org/officeDocument/2006/relationships/hyperlink" Target="https://a.co/d/eZwOmIy" TargetMode="External"/><Relationship Id="rId9" Type="http://schemas.openxmlformats.org/officeDocument/2006/relationships/hyperlink" Target="https://a.co/d/6oJZYv2" TargetMode="External"/><Relationship Id="rId14" Type="http://schemas.openxmlformats.org/officeDocument/2006/relationships/hyperlink" Target="https://a.co/d/67xLBHp" TargetMode="External"/><Relationship Id="rId22" Type="http://schemas.openxmlformats.org/officeDocument/2006/relationships/hyperlink" Target="https://a.co/d/0Pg9k8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.co/d/8fLofJM" TargetMode="External"/><Relationship Id="rId18" Type="http://schemas.openxmlformats.org/officeDocument/2006/relationships/hyperlink" Target="https://a.co/d/1pgzCrn" TargetMode="External"/><Relationship Id="rId26" Type="http://schemas.openxmlformats.org/officeDocument/2006/relationships/hyperlink" Target="https://a.co/d/8vPQ0V4" TargetMode="External"/><Relationship Id="rId39" Type="http://schemas.openxmlformats.org/officeDocument/2006/relationships/hyperlink" Target="https://a.co/d/0GwkLAQ" TargetMode="External"/><Relationship Id="rId21" Type="http://schemas.openxmlformats.org/officeDocument/2006/relationships/hyperlink" Target="https://a.co/d/bKbGUh2" TargetMode="External"/><Relationship Id="rId34" Type="http://schemas.openxmlformats.org/officeDocument/2006/relationships/hyperlink" Target="https://a.co/d/0D5bg5z" TargetMode="External"/><Relationship Id="rId42" Type="http://schemas.openxmlformats.org/officeDocument/2006/relationships/hyperlink" Target="https://a.co/d/cQ3mfeO" TargetMode="External"/><Relationship Id="rId47" Type="http://schemas.openxmlformats.org/officeDocument/2006/relationships/hyperlink" Target="https://a.co/d/9UmJPjo" TargetMode="External"/><Relationship Id="rId7" Type="http://schemas.openxmlformats.org/officeDocument/2006/relationships/hyperlink" Target="https://a.co/d/jaFr7rR" TargetMode="External"/><Relationship Id="rId2" Type="http://schemas.openxmlformats.org/officeDocument/2006/relationships/hyperlink" Target="https://a.co/d/9hi5wjq" TargetMode="External"/><Relationship Id="rId16" Type="http://schemas.openxmlformats.org/officeDocument/2006/relationships/hyperlink" Target="https://a.co/d/hsqo7nh" TargetMode="External"/><Relationship Id="rId29" Type="http://schemas.openxmlformats.org/officeDocument/2006/relationships/hyperlink" Target="https://a.co/d/h0wk1Nk" TargetMode="External"/><Relationship Id="rId1" Type="http://schemas.openxmlformats.org/officeDocument/2006/relationships/hyperlink" Target="https://a.co/d/3Xr4rN0" TargetMode="External"/><Relationship Id="rId6" Type="http://schemas.openxmlformats.org/officeDocument/2006/relationships/hyperlink" Target="https://a.co/d/0WjGBxP" TargetMode="External"/><Relationship Id="rId11" Type="http://schemas.openxmlformats.org/officeDocument/2006/relationships/hyperlink" Target="https://a.co/d/hmiRmXl" TargetMode="External"/><Relationship Id="rId24" Type="http://schemas.openxmlformats.org/officeDocument/2006/relationships/hyperlink" Target="https://a.co/d/eQFLaf1" TargetMode="External"/><Relationship Id="rId32" Type="http://schemas.openxmlformats.org/officeDocument/2006/relationships/hyperlink" Target="https://a.co/d/8esS3Di" TargetMode="External"/><Relationship Id="rId37" Type="http://schemas.openxmlformats.org/officeDocument/2006/relationships/hyperlink" Target="https://a.co/d/ckR3pPQ" TargetMode="External"/><Relationship Id="rId40" Type="http://schemas.openxmlformats.org/officeDocument/2006/relationships/hyperlink" Target="https://a.co/d/aOqqiZN" TargetMode="External"/><Relationship Id="rId45" Type="http://schemas.openxmlformats.org/officeDocument/2006/relationships/hyperlink" Target="https://a.co/d/2mTOMkH" TargetMode="External"/><Relationship Id="rId5" Type="http://schemas.openxmlformats.org/officeDocument/2006/relationships/hyperlink" Target="https://a.co/d/0WqhrF6" TargetMode="External"/><Relationship Id="rId15" Type="http://schemas.openxmlformats.org/officeDocument/2006/relationships/hyperlink" Target="https://a.co/d/45zKuU9" TargetMode="External"/><Relationship Id="rId23" Type="http://schemas.openxmlformats.org/officeDocument/2006/relationships/hyperlink" Target="https://a.co/d/hX00sHr" TargetMode="External"/><Relationship Id="rId28" Type="http://schemas.openxmlformats.org/officeDocument/2006/relationships/hyperlink" Target="https://a.co/d/ixI7nYX" TargetMode="External"/><Relationship Id="rId36" Type="http://schemas.openxmlformats.org/officeDocument/2006/relationships/hyperlink" Target="https://a.co/d/fqvfChu" TargetMode="External"/><Relationship Id="rId10" Type="http://schemas.openxmlformats.org/officeDocument/2006/relationships/hyperlink" Target="https://a.co/d/g4TTEao" TargetMode="External"/><Relationship Id="rId19" Type="http://schemas.openxmlformats.org/officeDocument/2006/relationships/hyperlink" Target="https://a.co/d/32ziyjY" TargetMode="External"/><Relationship Id="rId31" Type="http://schemas.openxmlformats.org/officeDocument/2006/relationships/hyperlink" Target="https://a.co/d/clGcvh9" TargetMode="External"/><Relationship Id="rId44" Type="http://schemas.openxmlformats.org/officeDocument/2006/relationships/hyperlink" Target="https://a.co/d/fSsrwQw" TargetMode="External"/><Relationship Id="rId4" Type="http://schemas.openxmlformats.org/officeDocument/2006/relationships/hyperlink" Target="https://a.co/d/bbl4prF" TargetMode="External"/><Relationship Id="rId9" Type="http://schemas.openxmlformats.org/officeDocument/2006/relationships/hyperlink" Target="https://a.co/d/1HJA10Q" TargetMode="External"/><Relationship Id="rId14" Type="http://schemas.openxmlformats.org/officeDocument/2006/relationships/hyperlink" Target="https://a.co/d/iBzU0K5" TargetMode="External"/><Relationship Id="rId22" Type="http://schemas.openxmlformats.org/officeDocument/2006/relationships/hyperlink" Target="https://a.co/d/h1uRJHV" TargetMode="External"/><Relationship Id="rId27" Type="http://schemas.openxmlformats.org/officeDocument/2006/relationships/hyperlink" Target="https://a.co/d/a2gM3GO" TargetMode="External"/><Relationship Id="rId30" Type="http://schemas.openxmlformats.org/officeDocument/2006/relationships/hyperlink" Target="https://a.co/d/7TfIcAN" TargetMode="External"/><Relationship Id="rId35" Type="http://schemas.openxmlformats.org/officeDocument/2006/relationships/hyperlink" Target="https://a.co/d/jjLXslG" TargetMode="External"/><Relationship Id="rId43" Type="http://schemas.openxmlformats.org/officeDocument/2006/relationships/hyperlink" Target="https://a.co/d/drLOSa2" TargetMode="External"/><Relationship Id="rId48" Type="http://schemas.openxmlformats.org/officeDocument/2006/relationships/table" Target="../tables/table2.xml"/><Relationship Id="rId8" Type="http://schemas.openxmlformats.org/officeDocument/2006/relationships/hyperlink" Target="https://a.co/d/bv65r9m" TargetMode="External"/><Relationship Id="rId3" Type="http://schemas.openxmlformats.org/officeDocument/2006/relationships/hyperlink" Target="https://a.co/d/eNNU31y" TargetMode="External"/><Relationship Id="rId12" Type="http://schemas.openxmlformats.org/officeDocument/2006/relationships/hyperlink" Target="https://a.co/d/77Ahfhh" TargetMode="External"/><Relationship Id="rId17" Type="http://schemas.openxmlformats.org/officeDocument/2006/relationships/hyperlink" Target="https://a.co/d/b5ooTVa" TargetMode="External"/><Relationship Id="rId25" Type="http://schemas.openxmlformats.org/officeDocument/2006/relationships/hyperlink" Target="https://a.co/d/c7KOrxD" TargetMode="External"/><Relationship Id="rId33" Type="http://schemas.openxmlformats.org/officeDocument/2006/relationships/hyperlink" Target="https://a.co/d/3xQ3zBL" TargetMode="External"/><Relationship Id="rId38" Type="http://schemas.openxmlformats.org/officeDocument/2006/relationships/hyperlink" Target="https://a.co/d/1zOF2Wt" TargetMode="External"/><Relationship Id="rId46" Type="http://schemas.openxmlformats.org/officeDocument/2006/relationships/hyperlink" Target="https://a.co/d/9gg0YL3" TargetMode="External"/><Relationship Id="rId20" Type="http://schemas.openxmlformats.org/officeDocument/2006/relationships/hyperlink" Target="https://a.co/d/iJyqeDs" TargetMode="External"/><Relationship Id="rId41" Type="http://schemas.openxmlformats.org/officeDocument/2006/relationships/hyperlink" Target="https://a.co/d/bZvt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1E14-44BC-1847-9455-F10E3F2D0CF7}">
  <dimension ref="B1:I37"/>
  <sheetViews>
    <sheetView topLeftCell="A15" zoomScale="150" zoomScaleNormal="150" workbookViewId="0">
      <selection activeCell="F28" sqref="F28"/>
    </sheetView>
  </sheetViews>
  <sheetFormatPr baseColWidth="10" defaultRowHeight="18" x14ac:dyDescent="0.2"/>
  <cols>
    <col min="1" max="1" width="10.83203125" style="1"/>
    <col min="2" max="2" width="47.6640625" style="1" bestFit="1" customWidth="1"/>
    <col min="3" max="3" width="13.1640625" style="5" bestFit="1" customWidth="1"/>
    <col min="4" max="4" width="15.5" style="4" customWidth="1"/>
    <col min="5" max="5" width="16.5" style="3" customWidth="1"/>
    <col min="6" max="6" width="27.5" style="2" bestFit="1" customWidth="1"/>
    <col min="7" max="16384" width="10.83203125" style="1"/>
  </cols>
  <sheetData>
    <row r="1" spans="2:9" x14ac:dyDescent="0.2">
      <c r="B1" s="1" t="s">
        <v>74</v>
      </c>
      <c r="C1" s="19" t="s">
        <v>73</v>
      </c>
      <c r="D1" s="18" t="s">
        <v>72</v>
      </c>
      <c r="E1" s="17" t="s">
        <v>71</v>
      </c>
      <c r="F1" s="16" t="s">
        <v>70</v>
      </c>
    </row>
    <row r="2" spans="2:9" x14ac:dyDescent="0.2">
      <c r="B2" s="9" t="s">
        <v>69</v>
      </c>
      <c r="C2" s="5">
        <v>1</v>
      </c>
      <c r="D2" s="8">
        <v>34.99</v>
      </c>
      <c r="E2" s="3">
        <f t="shared" ref="E2:E36" si="0">C2*D2</f>
        <v>34.99</v>
      </c>
      <c r="F2" s="7" t="s">
        <v>68</v>
      </c>
    </row>
    <row r="3" spans="2:9" x14ac:dyDescent="0.2">
      <c r="B3" s="9" t="s">
        <v>67</v>
      </c>
      <c r="C3" s="5">
        <v>1</v>
      </c>
      <c r="D3" s="8">
        <v>47.99</v>
      </c>
      <c r="E3" s="3">
        <f t="shared" si="0"/>
        <v>47.99</v>
      </c>
      <c r="F3" s="7" t="s">
        <v>66</v>
      </c>
    </row>
    <row r="4" spans="2:9" x14ac:dyDescent="0.2">
      <c r="B4" s="9" t="s">
        <v>65</v>
      </c>
      <c r="C4" s="5">
        <v>1</v>
      </c>
      <c r="D4" s="8">
        <v>29.96</v>
      </c>
      <c r="E4" s="3">
        <f t="shared" si="0"/>
        <v>29.96</v>
      </c>
      <c r="F4" s="7" t="s">
        <v>64</v>
      </c>
    </row>
    <row r="5" spans="2:9" x14ac:dyDescent="0.2">
      <c r="B5" s="9" t="s">
        <v>63</v>
      </c>
      <c r="C5" s="11">
        <v>4</v>
      </c>
      <c r="D5" s="8">
        <v>14.99</v>
      </c>
      <c r="E5" s="3">
        <f t="shared" si="0"/>
        <v>59.96</v>
      </c>
      <c r="F5" s="12" t="s">
        <v>62</v>
      </c>
    </row>
    <row r="6" spans="2:9" x14ac:dyDescent="0.2">
      <c r="B6" s="9" t="s">
        <v>61</v>
      </c>
      <c r="C6" s="5">
        <v>1</v>
      </c>
      <c r="D6" s="8">
        <v>599.99</v>
      </c>
      <c r="E6" s="3">
        <f t="shared" si="0"/>
        <v>599.99</v>
      </c>
      <c r="F6" s="7" t="s">
        <v>60</v>
      </c>
    </row>
    <row r="7" spans="2:9" x14ac:dyDescent="0.2">
      <c r="B7" s="9" t="s">
        <v>59</v>
      </c>
      <c r="C7" s="11">
        <v>20</v>
      </c>
      <c r="D7" s="8">
        <v>27.5</v>
      </c>
      <c r="E7" s="3">
        <f t="shared" si="0"/>
        <v>550</v>
      </c>
      <c r="F7" s="10" t="s">
        <v>58</v>
      </c>
    </row>
    <row r="8" spans="2:9" x14ac:dyDescent="0.2">
      <c r="B8" s="9" t="s">
        <v>57</v>
      </c>
      <c r="C8" s="5">
        <v>4</v>
      </c>
      <c r="D8" s="8">
        <v>5.99</v>
      </c>
      <c r="E8" s="3">
        <f t="shared" si="0"/>
        <v>23.96</v>
      </c>
      <c r="F8" s="7" t="s">
        <v>56</v>
      </c>
    </row>
    <row r="9" spans="2:9" x14ac:dyDescent="0.2">
      <c r="B9" s="9" t="s">
        <v>55</v>
      </c>
      <c r="C9" s="5">
        <v>1</v>
      </c>
      <c r="D9" s="8">
        <v>22.49</v>
      </c>
      <c r="E9" s="3">
        <f t="shared" si="0"/>
        <v>22.49</v>
      </c>
      <c r="F9" s="7" t="s">
        <v>54</v>
      </c>
    </row>
    <row r="10" spans="2:9" x14ac:dyDescent="0.2">
      <c r="B10" s="9" t="s">
        <v>53</v>
      </c>
      <c r="C10" s="5">
        <v>1</v>
      </c>
      <c r="D10" s="8">
        <v>19.989999999999998</v>
      </c>
      <c r="E10" s="3">
        <f t="shared" si="0"/>
        <v>19.989999999999998</v>
      </c>
      <c r="F10" s="7" t="s">
        <v>52</v>
      </c>
    </row>
    <row r="11" spans="2:9" x14ac:dyDescent="0.2">
      <c r="B11" s="9" t="s">
        <v>51</v>
      </c>
      <c r="C11" s="5">
        <v>1</v>
      </c>
      <c r="D11" s="8">
        <v>12.49</v>
      </c>
      <c r="E11" s="3">
        <f t="shared" si="0"/>
        <v>12.49</v>
      </c>
      <c r="F11" s="7" t="s">
        <v>50</v>
      </c>
      <c r="I11" s="2"/>
    </row>
    <row r="12" spans="2:9" x14ac:dyDescent="0.2">
      <c r="B12" s="9" t="s">
        <v>49</v>
      </c>
      <c r="C12" s="5">
        <v>1</v>
      </c>
      <c r="D12" s="8">
        <v>11.99</v>
      </c>
      <c r="E12" s="3">
        <f t="shared" si="0"/>
        <v>11.99</v>
      </c>
      <c r="F12" s="7" t="s">
        <v>48</v>
      </c>
    </row>
    <row r="13" spans="2:9" x14ac:dyDescent="0.2">
      <c r="B13" s="9" t="s">
        <v>47</v>
      </c>
      <c r="C13" s="5">
        <v>4</v>
      </c>
      <c r="D13" s="8">
        <v>21.99</v>
      </c>
      <c r="E13" s="3">
        <f t="shared" si="0"/>
        <v>87.96</v>
      </c>
      <c r="F13" s="7" t="s">
        <v>46</v>
      </c>
    </row>
    <row r="14" spans="2:9" x14ac:dyDescent="0.2">
      <c r="B14" s="14" t="s">
        <v>45</v>
      </c>
      <c r="C14" s="13">
        <v>8</v>
      </c>
      <c r="D14" s="8">
        <v>47.99</v>
      </c>
      <c r="E14" s="3">
        <f t="shared" si="0"/>
        <v>383.92</v>
      </c>
      <c r="F14" s="10" t="s">
        <v>44</v>
      </c>
    </row>
    <row r="15" spans="2:9" x14ac:dyDescent="0.2">
      <c r="B15" s="9" t="s">
        <v>43</v>
      </c>
      <c r="C15" s="5">
        <v>4</v>
      </c>
      <c r="D15" s="8">
        <v>19.989999999999998</v>
      </c>
      <c r="E15" s="3">
        <f t="shared" si="0"/>
        <v>79.959999999999994</v>
      </c>
      <c r="F15" s="20" t="s">
        <v>42</v>
      </c>
    </row>
    <row r="16" spans="2:9" x14ac:dyDescent="0.2">
      <c r="B16" s="9" t="s">
        <v>41</v>
      </c>
      <c r="C16" s="11">
        <v>2</v>
      </c>
      <c r="D16" s="8">
        <v>39.99</v>
      </c>
      <c r="E16" s="3">
        <f t="shared" si="0"/>
        <v>79.98</v>
      </c>
      <c r="F16" s="10" t="s">
        <v>40</v>
      </c>
    </row>
    <row r="17" spans="2:6" x14ac:dyDescent="0.2">
      <c r="B17" s="1" t="s">
        <v>39</v>
      </c>
      <c r="C17" s="5">
        <v>2</v>
      </c>
      <c r="D17" s="6">
        <v>18.989999999999998</v>
      </c>
      <c r="E17" s="3">
        <f t="shared" si="0"/>
        <v>37.979999999999997</v>
      </c>
      <c r="F17" s="7" t="s">
        <v>38</v>
      </c>
    </row>
    <row r="18" spans="2:6" x14ac:dyDescent="0.2">
      <c r="B18" s="1" t="s">
        <v>37</v>
      </c>
      <c r="C18" s="5">
        <v>2</v>
      </c>
      <c r="D18" s="6">
        <v>15.99</v>
      </c>
      <c r="E18" s="3">
        <f t="shared" si="0"/>
        <v>31.98</v>
      </c>
      <c r="F18" s="7" t="s">
        <v>36</v>
      </c>
    </row>
    <row r="19" spans="2:6" x14ac:dyDescent="0.2">
      <c r="B19" s="9" t="s">
        <v>35</v>
      </c>
      <c r="C19" s="5">
        <v>4</v>
      </c>
      <c r="D19" s="8">
        <v>6.98</v>
      </c>
      <c r="E19" s="3">
        <f t="shared" si="0"/>
        <v>27.92</v>
      </c>
      <c r="F19" s="7" t="s">
        <v>34</v>
      </c>
    </row>
    <row r="20" spans="2:6" x14ac:dyDescent="0.2">
      <c r="B20" s="9" t="s">
        <v>33</v>
      </c>
      <c r="C20" s="11">
        <v>2</v>
      </c>
      <c r="D20" s="8">
        <v>24.99</v>
      </c>
      <c r="E20" s="3">
        <f t="shared" si="0"/>
        <v>49.98</v>
      </c>
      <c r="F20" s="12" t="s">
        <v>32</v>
      </c>
    </row>
    <row r="21" spans="2:6" x14ac:dyDescent="0.2">
      <c r="B21" s="9" t="s">
        <v>31</v>
      </c>
      <c r="C21" s="11">
        <v>10</v>
      </c>
      <c r="D21" s="8">
        <v>149.99</v>
      </c>
      <c r="E21" s="3">
        <f t="shared" si="0"/>
        <v>1499.9</v>
      </c>
      <c r="F21" s="10" t="s">
        <v>30</v>
      </c>
    </row>
    <row r="22" spans="2:6" ht="19" x14ac:dyDescent="0.2">
      <c r="B22" s="9" t="s">
        <v>29</v>
      </c>
      <c r="C22" s="5">
        <v>2</v>
      </c>
      <c r="D22" s="8">
        <v>13.53</v>
      </c>
      <c r="E22" s="3">
        <f t="shared" si="0"/>
        <v>27.06</v>
      </c>
      <c r="F22" s="15" t="s">
        <v>28</v>
      </c>
    </row>
    <row r="23" spans="2:6" x14ac:dyDescent="0.2">
      <c r="B23" s="9" t="s">
        <v>27</v>
      </c>
      <c r="C23" s="11">
        <v>10</v>
      </c>
      <c r="D23" s="8">
        <v>69.989999999999995</v>
      </c>
      <c r="E23" s="3">
        <f t="shared" si="0"/>
        <v>699.9</v>
      </c>
      <c r="F23" s="12" t="s">
        <v>26</v>
      </c>
    </row>
    <row r="24" spans="2:6" x14ac:dyDescent="0.2">
      <c r="B24" s="14" t="s">
        <v>25</v>
      </c>
      <c r="C24" s="13">
        <v>4</v>
      </c>
      <c r="D24" s="8">
        <v>27.99</v>
      </c>
      <c r="E24" s="3">
        <f t="shared" si="0"/>
        <v>111.96</v>
      </c>
      <c r="F24" s="12" t="s">
        <v>24</v>
      </c>
    </row>
    <row r="25" spans="2:6" x14ac:dyDescent="0.2">
      <c r="B25" s="9" t="s">
        <v>23</v>
      </c>
      <c r="C25" s="5">
        <v>2</v>
      </c>
      <c r="D25" s="8">
        <v>11.49</v>
      </c>
      <c r="E25" s="3">
        <f t="shared" si="0"/>
        <v>22.98</v>
      </c>
      <c r="F25" s="20" t="s">
        <v>22</v>
      </c>
    </row>
    <row r="26" spans="2:6" x14ac:dyDescent="0.2">
      <c r="B26" s="9" t="s">
        <v>21</v>
      </c>
      <c r="C26" s="5">
        <v>4</v>
      </c>
      <c r="D26" s="8">
        <v>12.99</v>
      </c>
      <c r="E26" s="3">
        <f t="shared" si="0"/>
        <v>51.96</v>
      </c>
      <c r="F26" s="7" t="s">
        <v>20</v>
      </c>
    </row>
    <row r="27" spans="2:6" x14ac:dyDescent="0.2">
      <c r="B27" s="9" t="s">
        <v>19</v>
      </c>
      <c r="C27" s="5">
        <v>4</v>
      </c>
      <c r="D27" s="8">
        <v>29.99</v>
      </c>
      <c r="E27" s="3">
        <f t="shared" si="0"/>
        <v>119.96</v>
      </c>
      <c r="F27" s="7" t="s">
        <v>18</v>
      </c>
    </row>
    <row r="28" spans="2:6" x14ac:dyDescent="0.2">
      <c r="B28" s="9" t="s">
        <v>17</v>
      </c>
      <c r="C28" s="11">
        <v>4</v>
      </c>
      <c r="D28" s="8">
        <v>118</v>
      </c>
      <c r="E28" s="3">
        <f t="shared" si="0"/>
        <v>472</v>
      </c>
      <c r="F28" s="10" t="s">
        <v>16</v>
      </c>
    </row>
    <row r="29" spans="2:6" x14ac:dyDescent="0.2">
      <c r="B29" s="9" t="s">
        <v>15</v>
      </c>
      <c r="C29" s="5">
        <v>2</v>
      </c>
      <c r="D29" s="8">
        <v>16.04</v>
      </c>
      <c r="E29" s="3">
        <f t="shared" si="0"/>
        <v>32.08</v>
      </c>
      <c r="F29" s="7" t="s">
        <v>14</v>
      </c>
    </row>
    <row r="30" spans="2:6" x14ac:dyDescent="0.2">
      <c r="B30" s="9" t="s">
        <v>13</v>
      </c>
      <c r="C30" s="5">
        <v>4</v>
      </c>
      <c r="D30" s="8">
        <v>16.989999999999998</v>
      </c>
      <c r="E30" s="3">
        <f t="shared" si="0"/>
        <v>67.959999999999994</v>
      </c>
      <c r="F30" s="7" t="s">
        <v>12</v>
      </c>
    </row>
    <row r="31" spans="2:6" x14ac:dyDescent="0.2">
      <c r="B31" s="1" t="s">
        <v>11</v>
      </c>
      <c r="C31" s="5">
        <v>4</v>
      </c>
      <c r="D31" s="8">
        <v>15.19</v>
      </c>
      <c r="E31" s="3">
        <f t="shared" si="0"/>
        <v>60.76</v>
      </c>
      <c r="F31" s="7" t="s">
        <v>10</v>
      </c>
    </row>
    <row r="32" spans="2:6" x14ac:dyDescent="0.2">
      <c r="B32" s="9" t="s">
        <v>9</v>
      </c>
      <c r="C32" s="5">
        <v>4</v>
      </c>
      <c r="D32" s="8">
        <v>17.989999999999998</v>
      </c>
      <c r="E32" s="3">
        <f t="shared" si="0"/>
        <v>71.959999999999994</v>
      </c>
      <c r="F32" s="7" t="s">
        <v>8</v>
      </c>
    </row>
    <row r="33" spans="2:6" x14ac:dyDescent="0.2">
      <c r="B33" s="9" t="s">
        <v>7</v>
      </c>
      <c r="C33" s="5">
        <v>4</v>
      </c>
      <c r="D33" s="8">
        <v>16.989999999999998</v>
      </c>
      <c r="E33" s="3">
        <f t="shared" si="0"/>
        <v>67.959999999999994</v>
      </c>
      <c r="F33" s="7" t="s">
        <v>6</v>
      </c>
    </row>
    <row r="34" spans="2:6" x14ac:dyDescent="0.2">
      <c r="B34" s="9" t="s">
        <v>5</v>
      </c>
      <c r="C34" s="5">
        <v>1</v>
      </c>
      <c r="D34" s="8">
        <v>15.17</v>
      </c>
      <c r="E34" s="3">
        <f t="shared" si="0"/>
        <v>15.17</v>
      </c>
      <c r="F34" s="7" t="s">
        <v>4</v>
      </c>
    </row>
    <row r="35" spans="2:6" x14ac:dyDescent="0.2">
      <c r="B35" s="9" t="s">
        <v>3</v>
      </c>
      <c r="C35" s="5">
        <v>1</v>
      </c>
      <c r="D35" s="8">
        <v>5.59</v>
      </c>
      <c r="E35" s="3">
        <f t="shared" si="0"/>
        <v>5.59</v>
      </c>
      <c r="F35" s="7" t="s">
        <v>2</v>
      </c>
    </row>
    <row r="36" spans="2:6" x14ac:dyDescent="0.2">
      <c r="B36" s="9" t="s">
        <v>1</v>
      </c>
      <c r="C36" s="5">
        <v>1</v>
      </c>
      <c r="D36" s="8">
        <v>14.99</v>
      </c>
      <c r="E36" s="3">
        <f t="shared" si="0"/>
        <v>14.99</v>
      </c>
      <c r="F36" s="7" t="s">
        <v>0</v>
      </c>
    </row>
    <row r="37" spans="2:6" x14ac:dyDescent="0.2">
      <c r="D37" s="6"/>
      <c r="E37" s="3">
        <f>SUM(E2:E36)</f>
        <v>5535.68</v>
      </c>
    </row>
  </sheetData>
  <hyperlinks>
    <hyperlink ref="F7" r:id="rId1" xr:uid="{CBB34A9A-D8D4-084D-A3B1-9D476E5AB2CC}"/>
    <hyperlink ref="F21" r:id="rId2" xr:uid="{3373CA32-04F9-DA46-832F-154054B1538C}"/>
    <hyperlink ref="F18" r:id="rId3" xr:uid="{DC2C3527-23F7-AC4F-9AED-DC0E910E000D}"/>
    <hyperlink ref="F17" r:id="rId4" xr:uid="{55522AAC-3F95-3541-A74D-DFEE411C046E}"/>
    <hyperlink ref="F20" r:id="rId5" xr:uid="{82EED739-8637-BE45-B49D-DAC539D49834}"/>
    <hyperlink ref="F5" r:id="rId6" xr:uid="{97B4851B-60F4-3C49-A044-5110A5054B80}"/>
    <hyperlink ref="F23" r:id="rId7" xr:uid="{8FA6A546-B08D-9B4E-9649-87CB7D8CCF84}"/>
    <hyperlink ref="F24" r:id="rId8" xr:uid="{B5971F2B-0B41-3947-AB61-BB66CC08906E}"/>
    <hyperlink ref="F31" r:id="rId9" xr:uid="{783C5BA7-A1B0-F049-A62B-FEC24150B9CC}"/>
    <hyperlink ref="F32" r:id="rId10" xr:uid="{85F30B98-EE5C-884E-B9CD-99D3A1F71438}"/>
    <hyperlink ref="F14" r:id="rId11" xr:uid="{DB894ABF-E659-5A4E-A4EF-30D9545E9F77}"/>
    <hyperlink ref="F28" r:id="rId12" xr:uid="{C27BEDE7-BC6B-B74E-9264-1A83372C48D8}"/>
    <hyperlink ref="F16" r:id="rId13" xr:uid="{4BCDB28F-EC0D-4847-9562-28608A4A60BE}"/>
    <hyperlink ref="F27" r:id="rId14" xr:uid="{7C9986B7-87B5-D841-A3DE-226532E63D82}"/>
    <hyperlink ref="F29" r:id="rId15" xr:uid="{A502560C-E8F3-914A-B2B3-57C2DABB8CA4}"/>
    <hyperlink ref="F30" r:id="rId16" xr:uid="{42AB0955-422B-1C4C-8DE9-0F887A0426FC}"/>
    <hyperlink ref="F10" r:id="rId17" xr:uid="{CA8457AE-4BD3-0A4B-ABEE-3473C17C5530}"/>
    <hyperlink ref="F9" r:id="rId18" xr:uid="{80873B27-DDF9-FD48-8BCC-0824337D94D9}"/>
    <hyperlink ref="F11" r:id="rId19" xr:uid="{215718DE-258F-FF41-ABDA-25844A1A6FFA}"/>
    <hyperlink ref="F26" r:id="rId20" xr:uid="{C107721C-AC39-B947-A86D-A32EA397F2FB}"/>
    <hyperlink ref="F22" r:id="rId21" xr:uid="{827CA324-4BEB-FE4F-AD61-5BB2DBE96CD1}"/>
    <hyperlink ref="F25" r:id="rId22" xr:uid="{5934B078-9D29-2844-8036-3A2874003042}"/>
    <hyperlink ref="F15" r:id="rId23" xr:uid="{ECD23613-806B-8A44-A7CB-AB34ECA2B98C}"/>
  </hyperlinks>
  <pageMargins left="0.7" right="0.7" top="0.75" bottom="0.75" header="0.3" footer="0.3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EFB5-3600-6A4C-BA97-D650DA0772EB}">
  <dimension ref="C1:I54"/>
  <sheetViews>
    <sheetView tabSelected="1" zoomScale="150" zoomScaleNormal="150" workbookViewId="0">
      <pane ySplit="1" topLeftCell="A2" activePane="bottomLeft" state="frozen"/>
      <selection pane="bottomLeft" activeCell="I28" sqref="I28"/>
    </sheetView>
  </sheetViews>
  <sheetFormatPr baseColWidth="10" defaultRowHeight="18" x14ac:dyDescent="0.2"/>
  <cols>
    <col min="1" max="2" width="10.83203125" style="1"/>
    <col min="3" max="3" width="47.6640625" style="22" bestFit="1" customWidth="1"/>
    <col min="4" max="4" width="11.83203125" style="5" bestFit="1" customWidth="1"/>
    <col min="5" max="5" width="8.83203125" style="5" bestFit="1" customWidth="1"/>
    <col min="6" max="6" width="13.6640625" style="5" bestFit="1" customWidth="1"/>
    <col min="7" max="7" width="16.33203125" style="21" bestFit="1" customWidth="1"/>
    <col min="8" max="8" width="10" style="3" bestFit="1" customWidth="1"/>
    <col min="9" max="9" width="24.6640625" style="34" bestFit="1" customWidth="1"/>
    <col min="10" max="16384" width="10.83203125" style="1"/>
  </cols>
  <sheetData>
    <row r="1" spans="3:9" x14ac:dyDescent="0.2">
      <c r="C1" s="24" t="s">
        <v>74</v>
      </c>
      <c r="D1" s="25" t="s">
        <v>73</v>
      </c>
      <c r="E1" s="25" t="s">
        <v>111</v>
      </c>
      <c r="F1" s="25" t="s">
        <v>110</v>
      </c>
      <c r="G1" s="26" t="s">
        <v>72</v>
      </c>
      <c r="H1" s="27" t="s">
        <v>71</v>
      </c>
      <c r="I1" s="28" t="s">
        <v>70</v>
      </c>
    </row>
    <row r="2" spans="3:9" x14ac:dyDescent="0.2">
      <c r="C2" s="22" t="s">
        <v>174</v>
      </c>
      <c r="D2" s="5">
        <v>1</v>
      </c>
      <c r="E2" s="5">
        <v>5</v>
      </c>
      <c r="F2" s="5">
        <f>D2*E2</f>
        <v>5</v>
      </c>
      <c r="G2" s="21">
        <v>19.989999999999998</v>
      </c>
      <c r="H2" s="3">
        <f>G2*D2</f>
        <v>19.989999999999998</v>
      </c>
      <c r="I2" s="29" t="s">
        <v>173</v>
      </c>
    </row>
    <row r="3" spans="3:9" x14ac:dyDescent="0.2">
      <c r="C3" s="22" t="s">
        <v>149</v>
      </c>
      <c r="D3" s="5">
        <v>1</v>
      </c>
      <c r="E3" s="5">
        <v>1</v>
      </c>
      <c r="F3" s="5">
        <f>D3*E3</f>
        <v>1</v>
      </c>
      <c r="G3" s="21">
        <v>25.99</v>
      </c>
      <c r="H3" s="3">
        <f>G3*D3</f>
        <v>25.99</v>
      </c>
      <c r="I3" s="29" t="s">
        <v>150</v>
      </c>
    </row>
    <row r="4" spans="3:9" x14ac:dyDescent="0.2">
      <c r="C4" s="22" t="s">
        <v>114</v>
      </c>
      <c r="D4" s="5">
        <v>2</v>
      </c>
      <c r="E4" s="5">
        <v>1</v>
      </c>
      <c r="F4" s="5">
        <f>D4*E4</f>
        <v>2</v>
      </c>
      <c r="G4" s="21">
        <v>7.99</v>
      </c>
      <c r="H4" s="3">
        <f>G4*D4</f>
        <v>15.98</v>
      </c>
      <c r="I4" s="30" t="s">
        <v>98</v>
      </c>
    </row>
    <row r="5" spans="3:9" x14ac:dyDescent="0.2">
      <c r="C5" s="22" t="s">
        <v>123</v>
      </c>
      <c r="D5" s="5">
        <v>1</v>
      </c>
      <c r="E5" s="5">
        <v>2</v>
      </c>
      <c r="F5" s="5">
        <f>D5*E5</f>
        <v>2</v>
      </c>
      <c r="G5" s="21">
        <v>9.99</v>
      </c>
      <c r="H5" s="3">
        <f>G5*D5</f>
        <v>9.99</v>
      </c>
      <c r="I5" s="29" t="s">
        <v>122</v>
      </c>
    </row>
    <row r="6" spans="3:9" x14ac:dyDescent="0.2">
      <c r="C6" s="22" t="s">
        <v>121</v>
      </c>
      <c r="D6" s="5">
        <v>1</v>
      </c>
      <c r="E6" s="5">
        <v>5</v>
      </c>
      <c r="F6" s="5">
        <f>D6*E6</f>
        <v>5</v>
      </c>
      <c r="G6" s="21">
        <v>7.99</v>
      </c>
      <c r="H6" s="3">
        <f>G6*D6</f>
        <v>7.99</v>
      </c>
      <c r="I6" s="29" t="s">
        <v>120</v>
      </c>
    </row>
    <row r="7" spans="3:9" x14ac:dyDescent="0.2">
      <c r="C7" s="22" t="s">
        <v>115</v>
      </c>
      <c r="D7" s="5">
        <v>2</v>
      </c>
      <c r="E7" s="5">
        <v>1</v>
      </c>
      <c r="F7" s="5">
        <f>D7*E7</f>
        <v>2</v>
      </c>
      <c r="G7" s="21">
        <v>9.99</v>
      </c>
      <c r="H7" s="3">
        <f>G7*D7</f>
        <v>19.98</v>
      </c>
      <c r="I7" s="30" t="s">
        <v>97</v>
      </c>
    </row>
    <row r="8" spans="3:9" x14ac:dyDescent="0.2">
      <c r="C8" s="22" t="s">
        <v>131</v>
      </c>
      <c r="D8" s="5">
        <v>2</v>
      </c>
      <c r="E8" s="5">
        <v>5</v>
      </c>
      <c r="F8" s="5">
        <f>D8*E8</f>
        <v>10</v>
      </c>
      <c r="G8" s="21">
        <v>8.99</v>
      </c>
      <c r="H8" s="3">
        <f>G8*D8</f>
        <v>17.98</v>
      </c>
      <c r="I8" s="29" t="s">
        <v>133</v>
      </c>
    </row>
    <row r="9" spans="3:9" x14ac:dyDescent="0.2">
      <c r="C9" s="9" t="s">
        <v>87</v>
      </c>
      <c r="D9" s="5">
        <v>5</v>
      </c>
      <c r="E9" s="5">
        <v>1</v>
      </c>
      <c r="F9" s="5">
        <f>D9*E9</f>
        <v>5</v>
      </c>
      <c r="G9" s="8">
        <v>13.99</v>
      </c>
      <c r="H9" s="3">
        <f>G9*D9</f>
        <v>69.95</v>
      </c>
      <c r="I9" s="31" t="s">
        <v>86</v>
      </c>
    </row>
    <row r="10" spans="3:9" x14ac:dyDescent="0.2">
      <c r="C10" s="22" t="s">
        <v>102</v>
      </c>
      <c r="D10" s="5">
        <v>2</v>
      </c>
      <c r="E10" s="5">
        <v>5</v>
      </c>
      <c r="F10" s="5">
        <f>D10*E10</f>
        <v>10</v>
      </c>
      <c r="G10" s="21">
        <v>7.99</v>
      </c>
      <c r="H10" s="3">
        <f>G10*D10</f>
        <v>15.98</v>
      </c>
      <c r="I10" s="30" t="s">
        <v>103</v>
      </c>
    </row>
    <row r="11" spans="3:9" x14ac:dyDescent="0.2">
      <c r="C11" s="22" t="s">
        <v>157</v>
      </c>
      <c r="D11" s="5">
        <v>1</v>
      </c>
      <c r="E11" s="5">
        <v>20</v>
      </c>
      <c r="F11" s="5">
        <f>D11*E11</f>
        <v>20</v>
      </c>
      <c r="G11" s="21">
        <v>6.49</v>
      </c>
      <c r="H11" s="3">
        <f>G11*D11</f>
        <v>6.49</v>
      </c>
      <c r="I11" s="29" t="s">
        <v>156</v>
      </c>
    </row>
    <row r="12" spans="3:9" x14ac:dyDescent="0.2">
      <c r="C12" s="22" t="s">
        <v>155</v>
      </c>
      <c r="D12" s="5">
        <v>1</v>
      </c>
      <c r="E12" s="5">
        <v>24</v>
      </c>
      <c r="F12" s="5">
        <f>D12*E12</f>
        <v>24</v>
      </c>
      <c r="G12" s="21">
        <v>16.989999999999998</v>
      </c>
      <c r="H12" s="3">
        <f>G12*D12</f>
        <v>16.989999999999998</v>
      </c>
      <c r="I12" s="29" t="s">
        <v>158</v>
      </c>
    </row>
    <row r="13" spans="3:9" x14ac:dyDescent="0.2">
      <c r="C13" s="22" t="s">
        <v>170</v>
      </c>
      <c r="D13" s="5">
        <v>1</v>
      </c>
      <c r="E13" s="5">
        <v>1</v>
      </c>
      <c r="F13" s="5">
        <f>D13*E13</f>
        <v>1</v>
      </c>
      <c r="G13" s="21">
        <v>59.49</v>
      </c>
      <c r="H13" s="3">
        <f>G13*D13</f>
        <v>59.49</v>
      </c>
      <c r="I13" s="29" t="s">
        <v>168</v>
      </c>
    </row>
    <row r="14" spans="3:9" x14ac:dyDescent="0.2">
      <c r="C14" s="22" t="s">
        <v>159</v>
      </c>
      <c r="D14" s="5">
        <v>1</v>
      </c>
      <c r="E14" s="5">
        <v>50</v>
      </c>
      <c r="F14" s="5">
        <f>D14*E14</f>
        <v>50</v>
      </c>
      <c r="G14" s="21">
        <v>6.99</v>
      </c>
      <c r="H14" s="3">
        <f>G14*D14</f>
        <v>6.99</v>
      </c>
      <c r="I14" s="29" t="s">
        <v>160</v>
      </c>
    </row>
    <row r="15" spans="3:9" x14ac:dyDescent="0.2">
      <c r="C15" s="9" t="s">
        <v>81</v>
      </c>
      <c r="D15" s="11">
        <v>2</v>
      </c>
      <c r="E15" s="11">
        <v>10</v>
      </c>
      <c r="F15" s="5">
        <f>D15*E15</f>
        <v>20</v>
      </c>
      <c r="G15" s="8">
        <v>5.99</v>
      </c>
      <c r="H15" s="3">
        <f>G15*D15</f>
        <v>11.98</v>
      </c>
      <c r="I15" s="32" t="s">
        <v>80</v>
      </c>
    </row>
    <row r="16" spans="3:9" x14ac:dyDescent="0.2">
      <c r="C16" s="22" t="s">
        <v>147</v>
      </c>
      <c r="D16" s="5">
        <v>1</v>
      </c>
      <c r="E16" s="5">
        <v>1</v>
      </c>
      <c r="F16" s="5">
        <f>D16*E16</f>
        <v>1</v>
      </c>
      <c r="G16" s="21">
        <v>19.989999999999998</v>
      </c>
      <c r="H16" s="3">
        <f>G16*D16</f>
        <v>19.989999999999998</v>
      </c>
      <c r="I16" s="29" t="s">
        <v>148</v>
      </c>
    </row>
    <row r="17" spans="3:9" x14ac:dyDescent="0.2">
      <c r="C17" s="22" t="s">
        <v>152</v>
      </c>
      <c r="D17" s="5">
        <v>2</v>
      </c>
      <c r="E17" s="5">
        <v>1</v>
      </c>
      <c r="F17" s="5">
        <f>D17*E17</f>
        <v>2</v>
      </c>
      <c r="G17" s="21">
        <v>9.99</v>
      </c>
      <c r="H17" s="3">
        <f>G17*D17</f>
        <v>19.98</v>
      </c>
      <c r="I17" s="29" t="s">
        <v>151</v>
      </c>
    </row>
    <row r="18" spans="3:9" x14ac:dyDescent="0.2">
      <c r="C18" s="22" t="s">
        <v>94</v>
      </c>
      <c r="D18" s="5">
        <v>1</v>
      </c>
      <c r="E18" s="5">
        <v>1</v>
      </c>
      <c r="F18" s="5">
        <f>D18*E18</f>
        <v>1</v>
      </c>
      <c r="G18" s="21">
        <v>9.19</v>
      </c>
      <c r="H18" s="3">
        <f>G18*D18</f>
        <v>9.19</v>
      </c>
      <c r="I18" s="29" t="s">
        <v>145</v>
      </c>
    </row>
    <row r="19" spans="3:9" x14ac:dyDescent="0.2">
      <c r="C19" s="22" t="s">
        <v>93</v>
      </c>
      <c r="D19" s="5">
        <v>1</v>
      </c>
      <c r="E19" s="5">
        <v>1</v>
      </c>
      <c r="F19" s="5">
        <f>D19*E19</f>
        <v>1</v>
      </c>
      <c r="G19" s="21">
        <v>69.95</v>
      </c>
      <c r="H19" s="3">
        <f>G19*D19</f>
        <v>69.95</v>
      </c>
      <c r="I19" s="30" t="s">
        <v>92</v>
      </c>
    </row>
    <row r="20" spans="3:9" x14ac:dyDescent="0.2">
      <c r="C20" s="22" t="s">
        <v>96</v>
      </c>
      <c r="D20" s="5">
        <v>2</v>
      </c>
      <c r="E20" s="5">
        <v>2</v>
      </c>
      <c r="F20" s="5">
        <f>D20*E20</f>
        <v>4</v>
      </c>
      <c r="G20" s="21">
        <v>7.99</v>
      </c>
      <c r="H20" s="3">
        <f>G20*D20</f>
        <v>15.98</v>
      </c>
      <c r="I20" s="30" t="s">
        <v>95</v>
      </c>
    </row>
    <row r="21" spans="3:9" x14ac:dyDescent="0.2">
      <c r="C21" s="9" t="s">
        <v>82</v>
      </c>
      <c r="D21" s="5">
        <v>5</v>
      </c>
      <c r="E21" s="5">
        <v>1</v>
      </c>
      <c r="F21" s="5">
        <f>D21*E21</f>
        <v>5</v>
      </c>
      <c r="G21" s="8">
        <v>8.99</v>
      </c>
      <c r="H21" s="3">
        <f>G21*D21</f>
        <v>44.95</v>
      </c>
      <c r="I21" s="33" t="s">
        <v>83</v>
      </c>
    </row>
    <row r="22" spans="3:9" x14ac:dyDescent="0.2">
      <c r="C22" s="9" t="s">
        <v>79</v>
      </c>
      <c r="D22" s="5">
        <v>2</v>
      </c>
      <c r="E22" s="5">
        <v>6</v>
      </c>
      <c r="F22" s="5">
        <f>D22*E22</f>
        <v>12</v>
      </c>
      <c r="G22" s="8">
        <v>6.99</v>
      </c>
      <c r="H22" s="3">
        <f>G22*D22</f>
        <v>13.98</v>
      </c>
      <c r="I22" s="33" t="s">
        <v>78</v>
      </c>
    </row>
    <row r="23" spans="3:9" x14ac:dyDescent="0.2">
      <c r="C23" s="22" t="s">
        <v>146</v>
      </c>
      <c r="D23" s="5">
        <v>4</v>
      </c>
      <c r="E23" s="5">
        <v>1</v>
      </c>
      <c r="F23" s="5">
        <f>D23*E23</f>
        <v>4</v>
      </c>
      <c r="G23" s="21">
        <v>6.98</v>
      </c>
      <c r="H23" s="3">
        <f>G23*D23</f>
        <v>27.92</v>
      </c>
      <c r="I23" s="30" t="s">
        <v>106</v>
      </c>
    </row>
    <row r="24" spans="3:9" x14ac:dyDescent="0.2">
      <c r="C24" s="22" t="s">
        <v>144</v>
      </c>
      <c r="D24" s="5">
        <v>4</v>
      </c>
      <c r="E24" s="5">
        <v>1</v>
      </c>
      <c r="F24" s="5">
        <f>D24*E24</f>
        <v>4</v>
      </c>
      <c r="G24" s="21">
        <v>6.98</v>
      </c>
      <c r="H24" s="3">
        <f>G24*D24</f>
        <v>27.92</v>
      </c>
      <c r="I24" s="30" t="s">
        <v>107</v>
      </c>
    </row>
    <row r="25" spans="3:9" x14ac:dyDescent="0.2">
      <c r="C25" s="22" t="s">
        <v>143</v>
      </c>
      <c r="D25" s="5">
        <v>4</v>
      </c>
      <c r="E25" s="5">
        <v>1</v>
      </c>
      <c r="F25" s="5">
        <f>D25*E25</f>
        <v>4</v>
      </c>
      <c r="G25" s="21">
        <v>6.98</v>
      </c>
      <c r="H25" s="3">
        <f>G25*D25</f>
        <v>27.92</v>
      </c>
      <c r="I25" s="29" t="s">
        <v>142</v>
      </c>
    </row>
    <row r="26" spans="3:9" x14ac:dyDescent="0.2">
      <c r="C26" s="22" t="s">
        <v>179</v>
      </c>
      <c r="D26" s="5">
        <v>1</v>
      </c>
      <c r="E26" s="5">
        <v>1</v>
      </c>
      <c r="F26" s="5">
        <f>D26*E26</f>
        <v>1</v>
      </c>
      <c r="G26" s="21">
        <v>74.95</v>
      </c>
      <c r="H26" s="3">
        <f>G26*D26</f>
        <v>74.95</v>
      </c>
      <c r="I26" s="30" t="s">
        <v>180</v>
      </c>
    </row>
    <row r="27" spans="3:9" x14ac:dyDescent="0.2">
      <c r="C27" s="22" t="s">
        <v>166</v>
      </c>
      <c r="D27" s="5">
        <v>1</v>
      </c>
      <c r="E27" s="5">
        <v>10</v>
      </c>
      <c r="F27" s="5">
        <f>D27*E27</f>
        <v>10</v>
      </c>
      <c r="G27" s="21">
        <v>27.99</v>
      </c>
      <c r="H27" s="3">
        <f>G27*D27</f>
        <v>27.99</v>
      </c>
      <c r="I27" s="30" t="s">
        <v>165</v>
      </c>
    </row>
    <row r="28" spans="3:9" x14ac:dyDescent="0.2">
      <c r="C28" s="22" t="s">
        <v>112</v>
      </c>
      <c r="D28" s="5">
        <v>1</v>
      </c>
      <c r="E28" s="5">
        <v>1</v>
      </c>
      <c r="F28" s="5">
        <f>D28*E28</f>
        <v>1</v>
      </c>
      <c r="G28" s="21">
        <v>16.989999999999998</v>
      </c>
      <c r="H28" s="3">
        <f>G28*D28</f>
        <v>16.989999999999998</v>
      </c>
      <c r="I28" s="30" t="s">
        <v>108</v>
      </c>
    </row>
    <row r="29" spans="3:9" ht="18" customHeight="1" x14ac:dyDescent="0.2">
      <c r="C29" s="22" t="s">
        <v>129</v>
      </c>
      <c r="D29" s="5">
        <v>1</v>
      </c>
      <c r="E29" s="5">
        <v>5</v>
      </c>
      <c r="F29" s="5">
        <f>D29*E29</f>
        <v>5</v>
      </c>
      <c r="G29" s="21">
        <v>9.99</v>
      </c>
      <c r="H29" s="3">
        <f>G29*D29</f>
        <v>9.99</v>
      </c>
      <c r="I29" s="30" t="s">
        <v>128</v>
      </c>
    </row>
    <row r="30" spans="3:9" ht="19" customHeight="1" x14ac:dyDescent="0.2">
      <c r="C30" s="22" t="s">
        <v>130</v>
      </c>
      <c r="D30" s="5">
        <v>1</v>
      </c>
      <c r="E30" s="5">
        <v>2</v>
      </c>
      <c r="F30" s="5">
        <f>D30*E30</f>
        <v>2</v>
      </c>
      <c r="G30" s="21">
        <v>11.99</v>
      </c>
      <c r="H30" s="3">
        <f>G30*D30</f>
        <v>11.99</v>
      </c>
      <c r="I30" s="34" t="s">
        <v>132</v>
      </c>
    </row>
    <row r="31" spans="3:9" ht="18" customHeight="1" x14ac:dyDescent="0.2">
      <c r="C31" s="22" t="s">
        <v>161</v>
      </c>
      <c r="D31" s="5">
        <v>1</v>
      </c>
      <c r="E31" s="5">
        <v>5</v>
      </c>
      <c r="F31" s="5">
        <f>D31*E31</f>
        <v>5</v>
      </c>
      <c r="G31" s="21">
        <v>7.59</v>
      </c>
      <c r="H31" s="3">
        <f>G31*D31</f>
        <v>7.59</v>
      </c>
      <c r="I31" s="29" t="s">
        <v>162</v>
      </c>
    </row>
    <row r="32" spans="3:9" x14ac:dyDescent="0.2">
      <c r="C32" s="22" t="s">
        <v>153</v>
      </c>
      <c r="D32" s="5">
        <v>2</v>
      </c>
      <c r="E32" s="5">
        <v>20</v>
      </c>
      <c r="F32" s="5">
        <f>D32*E32</f>
        <v>40</v>
      </c>
      <c r="G32" s="21">
        <v>8.99</v>
      </c>
      <c r="H32" s="3">
        <f>G32*D32</f>
        <v>17.98</v>
      </c>
      <c r="I32" s="29" t="s">
        <v>154</v>
      </c>
    </row>
    <row r="33" spans="3:9" ht="19" customHeight="1" x14ac:dyDescent="0.2">
      <c r="C33" s="9" t="s">
        <v>85</v>
      </c>
      <c r="D33" s="11">
        <v>5</v>
      </c>
      <c r="E33" s="11">
        <v>5</v>
      </c>
      <c r="F33" s="5">
        <f>D33*E33</f>
        <v>25</v>
      </c>
      <c r="G33" s="8">
        <v>16.989999999999998</v>
      </c>
      <c r="H33" s="3">
        <f>G33*D33</f>
        <v>84.949999999999989</v>
      </c>
      <c r="I33" s="35" t="s">
        <v>84</v>
      </c>
    </row>
    <row r="34" spans="3:9" x14ac:dyDescent="0.2">
      <c r="C34" s="22" t="s">
        <v>91</v>
      </c>
      <c r="D34" s="5">
        <v>5</v>
      </c>
      <c r="E34" s="5">
        <v>1</v>
      </c>
      <c r="F34" s="5">
        <f>D34*E34</f>
        <v>5</v>
      </c>
      <c r="G34" s="8">
        <v>21.24</v>
      </c>
      <c r="H34" s="3">
        <f>G34*D34</f>
        <v>106.19999999999999</v>
      </c>
      <c r="I34" s="31" t="s">
        <v>88</v>
      </c>
    </row>
    <row r="35" spans="3:9" x14ac:dyDescent="0.2">
      <c r="C35" s="22" t="s">
        <v>125</v>
      </c>
      <c r="D35" s="5">
        <v>1</v>
      </c>
      <c r="E35" s="5">
        <v>3</v>
      </c>
      <c r="F35" s="5">
        <f>D35*E35</f>
        <v>3</v>
      </c>
      <c r="G35" s="21">
        <v>5.49</v>
      </c>
      <c r="H35" s="3">
        <f>G35*D35</f>
        <v>5.49</v>
      </c>
      <c r="I35" s="23" t="s">
        <v>124</v>
      </c>
    </row>
    <row r="36" spans="3:9" x14ac:dyDescent="0.2">
      <c r="C36" s="22" t="s">
        <v>171</v>
      </c>
      <c r="D36" s="5">
        <v>1</v>
      </c>
      <c r="E36" s="5">
        <v>1</v>
      </c>
      <c r="F36" s="5">
        <f>D36*E36</f>
        <v>1</v>
      </c>
      <c r="G36" s="21">
        <v>16.989999999999998</v>
      </c>
      <c r="H36" s="3">
        <f>G36*D36</f>
        <v>16.989999999999998</v>
      </c>
      <c r="I36" s="23" t="s">
        <v>172</v>
      </c>
    </row>
    <row r="37" spans="3:9" x14ac:dyDescent="0.2">
      <c r="C37" s="22" t="s">
        <v>101</v>
      </c>
      <c r="D37" s="5">
        <v>2</v>
      </c>
      <c r="E37" s="5">
        <v>10</v>
      </c>
      <c r="F37" s="5">
        <f>D37*E37</f>
        <v>20</v>
      </c>
      <c r="G37" s="21">
        <v>9.99</v>
      </c>
      <c r="H37" s="3">
        <f>G37*D37</f>
        <v>19.98</v>
      </c>
      <c r="I37" s="30" t="s">
        <v>100</v>
      </c>
    </row>
    <row r="38" spans="3:9" x14ac:dyDescent="0.2">
      <c r="C38" s="22" t="s">
        <v>113</v>
      </c>
      <c r="D38" s="5">
        <v>4</v>
      </c>
      <c r="E38" s="5">
        <v>1</v>
      </c>
      <c r="F38" s="5">
        <f>D38*E38</f>
        <v>4</v>
      </c>
      <c r="G38" s="21">
        <v>8.99</v>
      </c>
      <c r="H38" s="3">
        <f>G38*D38</f>
        <v>35.96</v>
      </c>
      <c r="I38" s="30" t="s">
        <v>99</v>
      </c>
    </row>
    <row r="39" spans="3:9" x14ac:dyDescent="0.2">
      <c r="C39" s="22" t="s">
        <v>109</v>
      </c>
      <c r="D39" s="5">
        <v>5</v>
      </c>
      <c r="E39" s="5">
        <v>1</v>
      </c>
      <c r="F39" s="5">
        <f>D39*E39</f>
        <v>5</v>
      </c>
      <c r="G39" s="8">
        <v>24.99</v>
      </c>
      <c r="H39" s="3">
        <f>G39*D39</f>
        <v>124.94999999999999</v>
      </c>
      <c r="I39" s="31" t="s">
        <v>77</v>
      </c>
    </row>
    <row r="40" spans="3:9" x14ac:dyDescent="0.2">
      <c r="C40" s="22" t="s">
        <v>177</v>
      </c>
      <c r="D40" s="5">
        <v>1</v>
      </c>
      <c r="E40" s="5">
        <v>1</v>
      </c>
      <c r="F40" s="5">
        <f>D40*E40</f>
        <v>1</v>
      </c>
      <c r="G40" s="21">
        <v>129.94999999999999</v>
      </c>
      <c r="H40" s="3">
        <f>G40*D40</f>
        <v>129.94999999999999</v>
      </c>
      <c r="I40" s="23" t="s">
        <v>178</v>
      </c>
    </row>
    <row r="41" spans="3:9" x14ac:dyDescent="0.2">
      <c r="C41" s="22" t="s">
        <v>176</v>
      </c>
      <c r="D41" s="5">
        <v>1</v>
      </c>
      <c r="E41" s="5">
        <v>1</v>
      </c>
      <c r="F41" s="5">
        <f>D41*E41</f>
        <v>1</v>
      </c>
      <c r="G41" s="21">
        <v>169.95</v>
      </c>
      <c r="H41" s="3">
        <f>G41*D41</f>
        <v>169.95</v>
      </c>
      <c r="I41" s="30" t="s">
        <v>175</v>
      </c>
    </row>
    <row r="42" spans="3:9" x14ac:dyDescent="0.2">
      <c r="C42" s="22" t="s">
        <v>167</v>
      </c>
      <c r="D42" s="5">
        <v>1</v>
      </c>
      <c r="E42" s="5">
        <v>1</v>
      </c>
      <c r="F42" s="5">
        <f>D42*E42</f>
        <v>1</v>
      </c>
      <c r="G42" s="21">
        <v>38.99</v>
      </c>
      <c r="H42" s="3">
        <f>G42*D42</f>
        <v>38.99</v>
      </c>
      <c r="I42" s="23" t="s">
        <v>169</v>
      </c>
    </row>
    <row r="43" spans="3:9" x14ac:dyDescent="0.2">
      <c r="C43" s="22" t="s">
        <v>135</v>
      </c>
      <c r="D43" s="5">
        <v>2</v>
      </c>
      <c r="E43" s="5">
        <v>6</v>
      </c>
      <c r="F43" s="5">
        <f>D43*E43</f>
        <v>12</v>
      </c>
      <c r="G43" s="21">
        <v>10.99</v>
      </c>
      <c r="H43" s="3">
        <f>G43*D43</f>
        <v>21.98</v>
      </c>
      <c r="I43" s="23" t="s">
        <v>134</v>
      </c>
    </row>
    <row r="44" spans="3:9" x14ac:dyDescent="0.2">
      <c r="C44" s="22" t="s">
        <v>90</v>
      </c>
      <c r="D44" s="5">
        <v>3</v>
      </c>
      <c r="E44" s="5">
        <v>1</v>
      </c>
      <c r="F44" s="5">
        <f>D44*E44</f>
        <v>3</v>
      </c>
      <c r="G44" s="8">
        <v>79.2</v>
      </c>
      <c r="H44" s="3">
        <f>G44*D44</f>
        <v>237.60000000000002</v>
      </c>
      <c r="I44" s="31" t="s">
        <v>89</v>
      </c>
    </row>
    <row r="45" spans="3:9" x14ac:dyDescent="0.2">
      <c r="C45" s="22" t="s">
        <v>105</v>
      </c>
      <c r="D45" s="5">
        <v>2</v>
      </c>
      <c r="E45" s="5">
        <v>3</v>
      </c>
      <c r="F45" s="5">
        <f>D45*E45</f>
        <v>6</v>
      </c>
      <c r="G45" s="21">
        <v>13.59</v>
      </c>
      <c r="H45" s="3">
        <f>G45*D45</f>
        <v>27.18</v>
      </c>
      <c r="I45" s="30" t="s">
        <v>104</v>
      </c>
    </row>
    <row r="46" spans="3:9" x14ac:dyDescent="0.2">
      <c r="C46" s="22" t="s">
        <v>117</v>
      </c>
      <c r="D46" s="5">
        <v>2</v>
      </c>
      <c r="E46" s="5">
        <v>5</v>
      </c>
      <c r="F46" s="5">
        <f>D46*E46</f>
        <v>10</v>
      </c>
      <c r="G46" s="21">
        <v>7.89</v>
      </c>
      <c r="H46" s="3">
        <f>G46*D46</f>
        <v>15.78</v>
      </c>
      <c r="I46" s="23" t="s">
        <v>116</v>
      </c>
    </row>
    <row r="47" spans="3:9" x14ac:dyDescent="0.2">
      <c r="C47" s="22" t="s">
        <v>137</v>
      </c>
      <c r="D47" s="5">
        <v>10</v>
      </c>
      <c r="E47" s="5">
        <v>8</v>
      </c>
      <c r="F47" s="5">
        <f>D47*E47</f>
        <v>80</v>
      </c>
      <c r="G47" s="21">
        <v>6.99</v>
      </c>
      <c r="H47" s="3">
        <f>G47*D47</f>
        <v>69.900000000000006</v>
      </c>
      <c r="I47" s="23" t="s">
        <v>141</v>
      </c>
    </row>
    <row r="48" spans="3:9" x14ac:dyDescent="0.2">
      <c r="C48" s="22" t="s">
        <v>139</v>
      </c>
      <c r="D48" s="5">
        <v>10</v>
      </c>
      <c r="E48" s="5">
        <v>1</v>
      </c>
      <c r="F48" s="5">
        <f>D48*E48</f>
        <v>10</v>
      </c>
      <c r="G48" s="21">
        <v>8.99</v>
      </c>
      <c r="H48" s="3">
        <f>G48*D48</f>
        <v>89.9</v>
      </c>
      <c r="I48" s="23" t="s">
        <v>136</v>
      </c>
    </row>
    <row r="49" spans="3:9" x14ac:dyDescent="0.2">
      <c r="C49" s="22" t="s">
        <v>140</v>
      </c>
      <c r="D49" s="5">
        <v>10</v>
      </c>
      <c r="E49" s="5">
        <v>1</v>
      </c>
      <c r="F49" s="5">
        <f>D49*E49</f>
        <v>10</v>
      </c>
      <c r="G49" s="21">
        <v>8.99</v>
      </c>
      <c r="H49" s="3">
        <f>G49*D49</f>
        <v>89.9</v>
      </c>
      <c r="I49" s="23" t="s">
        <v>138</v>
      </c>
    </row>
    <row r="50" spans="3:9" x14ac:dyDescent="0.2">
      <c r="C50" s="22" t="s">
        <v>127</v>
      </c>
      <c r="D50" s="5">
        <v>1</v>
      </c>
      <c r="E50" s="5">
        <v>6</v>
      </c>
      <c r="F50" s="5">
        <f>D50*E50</f>
        <v>6</v>
      </c>
      <c r="G50" s="21">
        <v>9.99</v>
      </c>
      <c r="H50" s="3">
        <f>G50*D50</f>
        <v>9.99</v>
      </c>
      <c r="I50" s="23" t="s">
        <v>126</v>
      </c>
    </row>
    <row r="51" spans="3:9" x14ac:dyDescent="0.2">
      <c r="C51" s="9" t="s">
        <v>76</v>
      </c>
      <c r="D51" s="5">
        <v>3</v>
      </c>
      <c r="E51" s="5">
        <v>1</v>
      </c>
      <c r="F51" s="5">
        <f>D51*E51</f>
        <v>3</v>
      </c>
      <c r="G51" s="8">
        <v>59.99</v>
      </c>
      <c r="H51" s="3">
        <f>G51*D51</f>
        <v>179.97</v>
      </c>
      <c r="I51" s="30" t="s">
        <v>75</v>
      </c>
    </row>
    <row r="52" spans="3:9" x14ac:dyDescent="0.2">
      <c r="C52" s="22" t="s">
        <v>118</v>
      </c>
      <c r="D52" s="5">
        <v>2</v>
      </c>
      <c r="E52" s="5">
        <v>5</v>
      </c>
      <c r="F52" s="5">
        <f>D52*E52</f>
        <v>10</v>
      </c>
      <c r="G52" s="21">
        <v>9.99</v>
      </c>
      <c r="H52" s="3">
        <f>G52*D52</f>
        <v>19.98</v>
      </c>
      <c r="I52" s="23" t="s">
        <v>119</v>
      </c>
    </row>
    <row r="53" spans="3:9" x14ac:dyDescent="0.2">
      <c r="C53" s="22" t="s">
        <v>164</v>
      </c>
      <c r="D53" s="5">
        <v>2</v>
      </c>
      <c r="E53" s="5">
        <v>5</v>
      </c>
      <c r="F53" s="5">
        <f>D53*E53</f>
        <v>10</v>
      </c>
      <c r="G53" s="21">
        <v>14.99</v>
      </c>
      <c r="H53" s="3">
        <f>G53*D53</f>
        <v>29.98</v>
      </c>
      <c r="I53" s="23" t="s">
        <v>163</v>
      </c>
    </row>
    <row r="54" spans="3:9" x14ac:dyDescent="0.2">
      <c r="D54" s="5">
        <f>SUM(Table3[Count])</f>
        <v>130</v>
      </c>
      <c r="H54" s="3">
        <f>SUM(Table3[Cost])</f>
        <v>2276.6000000000008</v>
      </c>
      <c r="I54" s="36"/>
    </row>
  </sheetData>
  <hyperlinks>
    <hyperlink ref="I21" r:id="rId1" xr:uid="{CF855E6C-A28D-8E45-8C71-D493810901F8}"/>
    <hyperlink ref="I22" r:id="rId2" xr:uid="{5D3FEC4A-894D-604B-8E64-148DD4B09D1B}"/>
    <hyperlink ref="I7" r:id="rId3" xr:uid="{3F6926F0-5478-8842-97EB-1F10062B4302}"/>
    <hyperlink ref="I15" r:id="rId4" xr:uid="{56F484FE-B25D-6148-94D5-BAAA23BE24D2}"/>
    <hyperlink ref="I33" r:id="rId5" xr:uid="{417BA557-FC35-DF47-B459-81D5D34A2CB4}"/>
    <hyperlink ref="I9" r:id="rId6" xr:uid="{F658901B-23B0-B04B-B001-0092FA8218D9}"/>
    <hyperlink ref="I34" r:id="rId7" xr:uid="{F9C4BC29-4278-CB4A-8048-44298128CE15}"/>
    <hyperlink ref="I44" r:id="rId8" xr:uid="{BD2BEC42-F95B-3244-B87A-739CFDF68FEB}"/>
    <hyperlink ref="I19" r:id="rId9" xr:uid="{3E04DB4C-F26E-994E-9021-1FBB78077E82}"/>
    <hyperlink ref="I20" r:id="rId10" xr:uid="{18D91C86-FE36-2F40-B076-F899A4885CC2}"/>
    <hyperlink ref="I38" r:id="rId11" xr:uid="{99DA058B-D6C6-B94A-AB39-7846C7964EC3}"/>
    <hyperlink ref="I37" r:id="rId12" xr:uid="{E9387481-EBA7-2646-A697-71159DE59B6C}"/>
    <hyperlink ref="I10" r:id="rId13" xr:uid="{3AAB72CA-E7A4-9643-945F-63A892F9AAF0}"/>
    <hyperlink ref="I45" r:id="rId14" xr:uid="{1AE5A047-A78B-C64E-A0EC-905569439780}"/>
    <hyperlink ref="I23" r:id="rId15" xr:uid="{C7F03B69-3286-5C4B-9C7A-63FA816FF4DE}"/>
    <hyperlink ref="I28" r:id="rId16" xr:uid="{746A6184-1EC8-AB4C-800C-CBFBE75738B5}"/>
    <hyperlink ref="I39" r:id="rId17" xr:uid="{03266EE2-66F8-CA4B-8D63-615D52709F13}"/>
    <hyperlink ref="I51" r:id="rId18" xr:uid="{7E11C52D-1C0B-3446-9FB2-877D3A9F88D3}"/>
    <hyperlink ref="I4" r:id="rId19" xr:uid="{4B43FA14-84CB-A34E-99E2-CEDA1CF7CCFE}"/>
    <hyperlink ref="I24" r:id="rId20" xr:uid="{304880AA-B319-F945-B4BC-D8B9EC6D1260}"/>
    <hyperlink ref="I25" r:id="rId21" xr:uid="{A1C8D307-A9FF-C14B-A127-7C09E374091D}"/>
    <hyperlink ref="I18" r:id="rId22" xr:uid="{C98A924F-6C37-0449-A8F7-98ADE2EF965E}"/>
    <hyperlink ref="I32" r:id="rId23" xr:uid="{D5617BD8-3073-194C-9BE4-27326598EAD5}"/>
    <hyperlink ref="I2" r:id="rId24" xr:uid="{CC3A80EA-5D2B-DC40-996C-1C4E4FC8BD20}"/>
    <hyperlink ref="I3" r:id="rId25" xr:uid="{245ABF84-B404-B14F-9311-3D18E52AE33D}"/>
    <hyperlink ref="I5" r:id="rId26" xr:uid="{C996ACB6-A44F-4047-84EA-37C9BE4CBFCC}"/>
    <hyperlink ref="I6" r:id="rId27" xr:uid="{BD1B9A05-6204-EE4C-B92A-4404422A7D50}"/>
    <hyperlink ref="I8" r:id="rId28" xr:uid="{E8E4B8F5-00B2-1944-BAB8-0E85820A2678}"/>
    <hyperlink ref="I11" r:id="rId29" xr:uid="{874919EA-9BB6-BD46-BE49-99162117A26D}"/>
    <hyperlink ref="I12" r:id="rId30" xr:uid="{427FD80A-DFE0-6245-AB53-B450DF1C5448}"/>
    <hyperlink ref="I13" r:id="rId31" xr:uid="{BA86C678-064D-EF4F-8697-EAF95119B70A}"/>
    <hyperlink ref="I14" r:id="rId32" xr:uid="{1525F1D0-3AEA-9947-A379-4565F9FDE167}"/>
    <hyperlink ref="I16" r:id="rId33" xr:uid="{56367AB5-E20C-4B47-B136-BEB671289E34}"/>
    <hyperlink ref="I17" r:id="rId34" xr:uid="{F9A25B77-638B-D046-AE24-6289F0720335}"/>
    <hyperlink ref="I31" r:id="rId35" xr:uid="{FBCEE986-F8BF-BE45-8735-D3B6DCEC6E1D}"/>
    <hyperlink ref="I35" r:id="rId36" xr:uid="{E2D2F3E9-AA97-4349-8F8D-7F202B30683D}"/>
    <hyperlink ref="I36" r:id="rId37" xr:uid="{58507C90-F0D9-A44E-939F-963D980667CB}"/>
    <hyperlink ref="I40" r:id="rId38" xr:uid="{76701949-77F9-994A-A8EC-AAB8F71B48A4}"/>
    <hyperlink ref="I42" r:id="rId39" xr:uid="{D7189F80-A396-3841-9F8E-12EE21124168}"/>
    <hyperlink ref="I43" r:id="rId40" xr:uid="{90027F4E-596D-DE40-95D7-F946C823DF76}"/>
    <hyperlink ref="I46" r:id="rId41" xr:uid="{A3D3B6B1-47E5-F943-96EB-145D0E7F7B43}"/>
    <hyperlink ref="I47" r:id="rId42" xr:uid="{88E70314-A9C8-E84E-9ACC-FBE5CA2837A0}"/>
    <hyperlink ref="I48" r:id="rId43" xr:uid="{202A3AD3-5100-684E-A916-33579D7FB5F4}"/>
    <hyperlink ref="I49" r:id="rId44" xr:uid="{DEB3F26D-8F9C-E544-8C6F-DEC06D6929C2}"/>
    <hyperlink ref="I50" r:id="rId45" xr:uid="{48065BD9-5597-8146-8143-AE863B8FC220}"/>
    <hyperlink ref="I52" r:id="rId46" xr:uid="{489C3D72-EF57-1B48-A0E6-6D01CFAE5CEE}"/>
    <hyperlink ref="I53" r:id="rId47" xr:uid="{2014ED4B-1652-1749-817A-742F81FABDE4}"/>
  </hyperlinks>
  <pageMargins left="0.7" right="0.7" top="0.75" bottom="0.75" header="0.3" footer="0.3"/>
  <tableParts count="1">
    <tablePart r:id="rId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IoT Lab Parts 1</vt:lpstr>
      <vt:lpstr>IoT Lab Parts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Griffin, Terry</dc:creator>
  <cp:lastModifiedBy>Griffin, Terry</cp:lastModifiedBy>
  <dcterms:created xsi:type="dcterms:W3CDTF">2025-06-23T18:31:58Z</dcterms:created>
  <dcterms:modified xsi:type="dcterms:W3CDTF">2025-07-17T01:45:35Z</dcterms:modified>
</cp:coreProperties>
</file>